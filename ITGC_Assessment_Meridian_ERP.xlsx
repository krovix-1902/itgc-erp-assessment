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ntrol Matrix" sheetId="2" state="visible" r:id="rId4"/>
    <sheet name="Findings Register" sheetId="3" state="visible" r:id="rId5"/>
    <sheet name="Dashboard" sheetId="4" state="visible" r:id="rId6"/>
    <sheet name="Legend" sheetId="5" state="visible" r:id="rId7"/>
  </sheets>
  <definedNames>
    <definedName function="false" hidden="true" localSheetId="1" name="_xlnm._FilterDatabase" vbProcedure="false">'Control Matrix'!$A$1:$P$33</definedName>
    <definedName function="false" hidden="true" localSheetId="2" name="_xlnm._FilterDatabase" vbProcedure="false">'Findings Register'!$A$1:$J$11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<sst xmlns="http://schemas.openxmlformats.org/spreadsheetml/2006/main" count="656" uniqueCount="348">
  <si>
    <t xml:space="preserve">IT General Controls (ITGC) Assessment</t>
  </si>
  <si>
    <t xml:space="preserve">Meridian Group plc  |  Oracle ERP Cloud (Finance &amp; Procurement)</t>
  </si>
  <si>
    <t xml:space="preserve">Engagement type</t>
  </si>
  <si>
    <t xml:space="preserve">Annual ITGC assessment supporting the FY2026 financial statement audit</t>
  </si>
  <si>
    <t xml:space="preserve">Assessment period</t>
  </si>
  <si>
    <t xml:space="preserve">1 January 2026 to 30 September 2026 (interim)</t>
  </si>
  <si>
    <t xml:space="preserve">Scope</t>
  </si>
  <si>
    <t xml:space="preserve">Logical access, change management, system development and IT operations over the in-scope ERP and its hosting environment</t>
  </si>
  <si>
    <t xml:space="preserve">Framework basis</t>
  </si>
  <si>
    <t xml:space="preserve">COBIT 2019, NIST SP 800-53 and common SOX ITGC practice, mapped to the four standard control domains</t>
  </si>
  <si>
    <t xml:space="preserve">Assessor</t>
  </si>
  <si>
    <t xml:space="preserve">R. Khatri, IT Audit (illustrative worked example)</t>
  </si>
  <si>
    <t xml:space="preserve">Report date</t>
  </si>
  <si>
    <t xml:space="preserve">3 October 2026</t>
  </si>
  <si>
    <t xml:space="preserve">Overall opinion</t>
  </si>
  <si>
    <t xml:space="preserve">Controls are partially effective. Two high-rated deficiencies require remediation before year-end reliance.</t>
  </si>
  <si>
    <t xml:space="preserve">How to use this workbook</t>
  </si>
  <si>
    <t xml:space="preserve">•  Control Matrix  -  the full population of controls tested, with objective, risk, test procedure, result and rating. This is the working paper.</t>
  </si>
  <si>
    <t xml:space="preserve">•  Findings Register  -  every control with an exception, written up as a deficiency with root cause, recommendation, owner and target date.</t>
  </si>
  <si>
    <t xml:space="preserve">•  Dashboard  -  live roll-up of results and ratings by domain. The counts recalculate from the Control Matrix, so update the matrix and the numbers follow.</t>
  </si>
  <si>
    <t xml:space="preserve">•  Legend  -  rating scales and the meaning of each result and status value. Read this before filling anything in.</t>
  </si>
  <si>
    <t xml:space="preserve">•  To reuse this as a template: keep columns A to I, clear the test results in J onwards, and re-run your own testing.</t>
  </si>
  <si>
    <t xml:space="preserve">Control ID</t>
  </si>
  <si>
    <t xml:space="preserve">Domain</t>
  </si>
  <si>
    <t xml:space="preserve">Control Objective</t>
  </si>
  <si>
    <t xml:space="preserve">Control Activity</t>
  </si>
  <si>
    <t xml:space="preserve">Risk if Control Fails</t>
  </si>
  <si>
    <t xml:space="preserve">Control Owner</t>
  </si>
  <si>
    <t xml:space="preserve">Frequency</t>
  </si>
  <si>
    <t xml:space="preserve">Type</t>
  </si>
  <si>
    <t xml:space="preserve">Nature</t>
  </si>
  <si>
    <t xml:space="preserve">Test Procedure</t>
  </si>
  <si>
    <t xml:space="preserve">Sample</t>
  </si>
  <si>
    <t xml:space="preserve">Result</t>
  </si>
  <si>
    <t xml:space="preserve">Exceptions Noted</t>
  </si>
  <si>
    <t xml:space="preserve">Finding Ref</t>
  </si>
  <si>
    <t xml:space="preserve">Risk Rating</t>
  </si>
  <si>
    <t xml:space="preserve">Status</t>
  </si>
  <si>
    <t xml:space="preserve">AC-01</t>
  </si>
  <si>
    <t xml:space="preserve">A. Access to Programs &amp; Data</t>
  </si>
  <si>
    <t xml:space="preserve">New user access is authorised before provisioning</t>
  </si>
  <si>
    <t xml:space="preserve">New starter access to the ERP is requested via the IT service portal and approved by the line manager and system owner before the account is created.</t>
  </si>
  <si>
    <t xml:space="preserve">Unauthorised accounts grant access to financial data and transactions.</t>
  </si>
  <si>
    <t xml:space="preserve">IT Security</t>
  </si>
  <si>
    <t xml:space="preserve">Per event</t>
  </si>
  <si>
    <t xml:space="preserve">Preventive</t>
  </si>
  <si>
    <t xml:space="preserve">IT-dependent manual</t>
  </si>
  <si>
    <t xml:space="preserve">For a sample of 25 joiners, inspect the ticket for documented manager and system-owner approval dated before account creation.</t>
  </si>
  <si>
    <t xml:space="preserve">Effective</t>
  </si>
  <si>
    <t xml:space="preserve">Low</t>
  </si>
  <si>
    <t xml:space="preserve">Closed</t>
  </si>
  <si>
    <t xml:space="preserve">AC-02</t>
  </si>
  <si>
    <t xml:space="preserve">Leaver access is removed on a timely basis</t>
  </si>
  <si>
    <t xml:space="preserve">HR notifies IT of leavers; ERP accounts are disabled within one business day of the leaving date.</t>
  </si>
  <si>
    <t xml:space="preserve">Former staff retain access and can act on or exfiltrate financial data.</t>
  </si>
  <si>
    <t xml:space="preserve">For 25 leavers, compare the HR leaving date to the account disable date in the admin log. Exception if removal exceeds one business day.</t>
  </si>
  <si>
    <t xml:space="preserve">Partially Effective</t>
  </si>
  <si>
    <t xml:space="preserve">3 of 25 leavers were disabled 4 to 9 days after their leaving date. No evidence of access being used in the gap.</t>
  </si>
  <si>
    <t xml:space="preserve">F-01</t>
  </si>
  <si>
    <t xml:space="preserve">Medium</t>
  </si>
  <si>
    <t xml:space="preserve">In Progress</t>
  </si>
  <si>
    <t xml:space="preserve">AC-03</t>
  </si>
  <si>
    <t xml:space="preserve">User access is reviewed periodically</t>
  </si>
  <si>
    <t xml:space="preserve">System owners perform a quarterly recertification of all ERP user access; removals are actioned within five days of sign-off.</t>
  </si>
  <si>
    <t xml:space="preserve">Access creep and inappropriate standing access go undetected.</t>
  </si>
  <si>
    <t xml:space="preserve">System Owners</t>
  </si>
  <si>
    <t xml:space="preserve">Quarterly</t>
  </si>
  <si>
    <t xml:space="preserve">Detective</t>
  </si>
  <si>
    <t xml:space="preserve">Manual</t>
  </si>
  <si>
    <t xml:space="preserve">Inspect the Q1 and Q2 recertification evidence. Confirm completeness of the user list reviewed, sign-off, and that flagged removals were actioned.</t>
  </si>
  <si>
    <t xml:space="preserve">Q1 review completed and signed. Q2 review was performed but sign-off is undated and two flagged accounts were not removed.</t>
  </si>
  <si>
    <t xml:space="preserve">F-02</t>
  </si>
  <si>
    <t xml:space="preserve">AC-04</t>
  </si>
  <si>
    <t xml:space="preserve">Privileged access is restricted and justified</t>
  </si>
  <si>
    <t xml:space="preserve">Administrator and super-user roles are limited to named IT staff, approved by the IT manager and documented in the privileged access register.</t>
  </si>
  <si>
    <t xml:space="preserve">Excessive privileged access enables unmonitored changes to data and configuration.</t>
  </si>
  <si>
    <t xml:space="preserve">IT Manager</t>
  </si>
  <si>
    <t xml:space="preserve">Obtain the list of privileged accounts. For each, confirm a business justification and current approval. Reconcile to the register.</t>
  </si>
  <si>
    <t xml:space="preserve">Ineffective</t>
  </si>
  <si>
    <t xml:space="preserve">8 privileged accounts exist against 5 approved. 3 belong to staff who changed role and no longer need admin rights. Register last updated 14 months ago.</t>
  </si>
  <si>
    <t xml:space="preserve">F-03</t>
  </si>
  <si>
    <t xml:space="preserve">High</t>
  </si>
  <si>
    <t xml:space="preserve">Open</t>
  </si>
  <si>
    <t xml:space="preserve">AC-05</t>
  </si>
  <si>
    <t xml:space="preserve">Password and authentication settings meet policy</t>
  </si>
  <si>
    <t xml:space="preserve">ERP authentication enforces minimum length, complexity, lockout and MFA for remote and privileged access, configured to the IT security policy.</t>
  </si>
  <si>
    <t xml:space="preserve">Weak authentication allows account compromise and unauthorised access.</t>
  </si>
  <si>
    <t xml:space="preserve">Continuous</t>
  </si>
  <si>
    <t xml:space="preserve">Automated</t>
  </si>
  <si>
    <t xml:space="preserve">Extract the authentication configuration and compare each parameter to the documented policy. Confirm MFA is enforced for all remote sessions.</t>
  </si>
  <si>
    <t xml:space="preserve">AC-06</t>
  </si>
  <si>
    <t xml:space="preserve">Segregation of duties is enforced in roles</t>
  </si>
  <si>
    <t xml:space="preserve">ERP roles are designed so that no single user can both create and approve a payment, or create a vendor and process a payment to it.</t>
  </si>
  <si>
    <t xml:space="preserve">SoD conflicts enable fraud and unauthorised disbursements.</t>
  </si>
  <si>
    <t xml:space="preserve">Finance Systems</t>
  </si>
  <si>
    <t xml:space="preserve">Run the SoD ruleset against current role assignments. Investigate each flagged conflict for a documented mitigating control.</t>
  </si>
  <si>
    <t xml:space="preserve">4 users hold conflicting create-and-approve payment access. 2 have documented monitoring; 2 do not.</t>
  </si>
  <si>
    <t xml:space="preserve">F-04</t>
  </si>
  <si>
    <t xml:space="preserve">AC-07</t>
  </si>
  <si>
    <t xml:space="preserve">Generic and service accounts are controlled</t>
  </si>
  <si>
    <t xml:space="preserve">Shared, generic and service accounts are inventoried, owned, and their passwords vaulted with access logged.</t>
  </si>
  <si>
    <t xml:space="preserve">Shared accounts break accountability and are a common attack path.</t>
  </si>
  <si>
    <t xml:space="preserve">Obtain the service account inventory. Confirm each has a named owner and vaulted credentials. Sample 5 for last password rotation.</t>
  </si>
  <si>
    <t xml:space="preserve">AC-08</t>
  </si>
  <si>
    <t xml:space="preserve">Database and OS access to the ERP is restricted</t>
  </si>
  <si>
    <t xml:space="preserve">Direct database and operating-system access to the ERP platform is limited to platform administrators and logged.</t>
  </si>
  <si>
    <t xml:space="preserve">Back-end access bypasses application controls over financial data.</t>
  </si>
  <si>
    <t xml:space="preserve">Infrastructure</t>
  </si>
  <si>
    <t xml:space="preserve">Review the list of accounts with direct DB and OS access. Confirm each is a platform admin and that logging is enabled.</t>
  </si>
  <si>
    <t xml:space="preserve">AC-09</t>
  </si>
  <si>
    <t xml:space="preserve">Physical access to hosting is restricted</t>
  </si>
  <si>
    <t xml:space="preserve">The ERP is hosted in a certified cloud region; physical security is inherited and evidenced by the provider's SOC 2 Type II report.</t>
  </si>
  <si>
    <t xml:space="preserve">Unrestricted physical access risks tampering and data loss.</t>
  </si>
  <si>
    <t xml:space="preserve">Annual</t>
  </si>
  <si>
    <t xml:space="preserve">Obtain the provider's current SOC 2 Type II report. Confirm physical security controls are in scope and the opinion is unqualified.</t>
  </si>
  <si>
    <t xml:space="preserve">AC-10</t>
  </si>
  <si>
    <t xml:space="preserve">Access to financial reports is role-appropriate</t>
  </si>
  <si>
    <t xml:space="preserve">Reporting and data-extract roles are restricted to finance and approved analysts on a least-privilege basis.</t>
  </si>
  <si>
    <t xml:space="preserve">Over-broad reporting access exposes sensitive financial data.</t>
  </si>
  <si>
    <t xml:space="preserve">Sample 15 users with reporting roles and confirm role-appropriateness against their job function.</t>
  </si>
  <si>
    <t xml:space="preserve">AC-11</t>
  </si>
  <si>
    <t xml:space="preserve">Terminated privileged access is revoked immediately</t>
  </si>
  <si>
    <t xml:space="preserve">Privileged accounts for leavers are revoked on the leaving date, ahead of standard user removal.</t>
  </si>
  <si>
    <t xml:space="preserve">Retained admin access post-departure is a severe exposure.</t>
  </si>
  <si>
    <t xml:space="preserve">For all privileged-user leavers in the period, confirm same-day revocation.</t>
  </si>
  <si>
    <t xml:space="preserve">AC-12</t>
  </si>
  <si>
    <t xml:space="preserve">Access logs are monitored for anomalies</t>
  </si>
  <si>
    <t xml:space="preserve">Failed logins, privileged actions and out-of-hours access are logged to the SIEM and reviewed against alerting rules.</t>
  </si>
  <si>
    <t xml:space="preserve">Unmonitored access means intrusions and misuse go undetected.</t>
  </si>
  <si>
    <t xml:space="preserve">SOC</t>
  </si>
  <si>
    <t xml:space="preserve">Confirm ERP logs feed the SIEM. Inspect 4 weeks of alert handling for privileged-action and failed-login rules.</t>
  </si>
  <si>
    <t xml:space="preserve">CM-01</t>
  </si>
  <si>
    <t xml:space="preserve">B. Program Changes</t>
  </si>
  <si>
    <t xml:space="preserve">Changes are authorised before development</t>
  </si>
  <si>
    <t xml:space="preserve">ERP configuration and code changes are raised as change records and approved by the change advisory board before work begins.</t>
  </si>
  <si>
    <t xml:space="preserve">Unauthorised changes can introduce errors or malicious logic to financial processing.</t>
  </si>
  <si>
    <t xml:space="preserve">Change Manager</t>
  </si>
  <si>
    <t xml:space="preserve">For 25 changes, inspect the change record for CAB approval dated before development started.</t>
  </si>
  <si>
    <t xml:space="preserve">CM-02</t>
  </si>
  <si>
    <t xml:space="preserve">Changes are tested and results documented</t>
  </si>
  <si>
    <t xml:space="preserve">Each change is tested in a non-production environment and the test results are recorded and reviewed before approval to deploy.</t>
  </si>
  <si>
    <t xml:space="preserve">Untested changes can corrupt data or break financial controls.</t>
  </si>
  <si>
    <t xml:space="preserve">QA Lead</t>
  </si>
  <si>
    <t xml:space="preserve">For the 25 changes, inspect retained test evidence and reviewer sign-off.</t>
  </si>
  <si>
    <t xml:space="preserve">2 of 25 changes had no retained test evidence, though both were low-risk config changes.</t>
  </si>
  <si>
    <t xml:space="preserve">F-05</t>
  </si>
  <si>
    <t xml:space="preserve">CM-03</t>
  </si>
  <si>
    <t xml:space="preserve">User acceptance and deployment are approved</t>
  </si>
  <si>
    <t xml:space="preserve">Business owners provide UAT sign-off and deployment is approved before release to production.</t>
  </si>
  <si>
    <t xml:space="preserve">Changes reach production without business validation.</t>
  </si>
  <si>
    <t xml:space="preserve">Business Owner</t>
  </si>
  <si>
    <t xml:space="preserve">For the sample, inspect UAT sign-off and deployment approval.</t>
  </si>
  <si>
    <t xml:space="preserve">CM-04</t>
  </si>
  <si>
    <t xml:space="preserve">Developers cannot deploy their own changes to production</t>
  </si>
  <si>
    <t xml:space="preserve">Deployment to production is performed by a separate release function; developers have no production deploy rights.</t>
  </si>
  <si>
    <t xml:space="preserve">A single person able to write and release code can bypass review.</t>
  </si>
  <si>
    <t xml:space="preserve">Release Mgmt</t>
  </si>
  <si>
    <t xml:space="preserve">Review production deploy permissions and reconcile against the developer list to confirm separation.</t>
  </si>
  <si>
    <t xml:space="preserve">2 developers retain production deploy access in the pipeline, breaking segregation between build and release.</t>
  </si>
  <si>
    <t xml:space="preserve">F-06</t>
  </si>
  <si>
    <t xml:space="preserve">CM-05</t>
  </si>
  <si>
    <t xml:space="preserve">Emergency changes follow a controlled path</t>
  </si>
  <si>
    <t xml:space="preserve">Emergency changes are deployed under a break-glass procedure and retrospectively approved within two business days.</t>
  </si>
  <si>
    <t xml:space="preserve">Emergency fixes bypass controls without later scrutiny.</t>
  </si>
  <si>
    <t xml:space="preserve">For all emergency changes in the period, confirm retrospective approval within SLA.</t>
  </si>
  <si>
    <t xml:space="preserve">CM-06</t>
  </si>
  <si>
    <t xml:space="preserve">Non-production and production environments are segregated</t>
  </si>
  <si>
    <t xml:space="preserve">Development, test and production are separate environments with no shared credentials.</t>
  </si>
  <si>
    <t xml:space="preserve">Shared environments risk unreviewed code reaching production.</t>
  </si>
  <si>
    <t xml:space="preserve">Confirm environment separation and that no credentials are shared across tiers.</t>
  </si>
  <si>
    <t xml:space="preserve">CM-07</t>
  </si>
  <si>
    <t xml:space="preserve">Vendor patches are assessed and applied</t>
  </si>
  <si>
    <t xml:space="preserve">Vendor-released patches and quarterly ERP updates are assessed, tested and applied within the defined window.</t>
  </si>
  <si>
    <t xml:space="preserve">Unpatched systems carry known vulnerabilities.</t>
  </si>
  <si>
    <t xml:space="preserve">For the two update cycles in the period, confirm assessment, testing and timely application.</t>
  </si>
  <si>
    <t xml:space="preserve">CM-08</t>
  </si>
  <si>
    <t xml:space="preserve">Change records are complete and traceable</t>
  </si>
  <si>
    <t xml:space="preserve">Every production change maps to an approved change record; no unlogged changes appear in deployment logs.</t>
  </si>
  <si>
    <t xml:space="preserve">Untracked changes undermine the whole change process.</t>
  </si>
  <si>
    <t xml:space="preserve">Monthly</t>
  </si>
  <si>
    <t xml:space="preserve">Reconcile production deployment logs for 2 months to approved change records. Investigate unmatched entries.</t>
  </si>
  <si>
    <t xml:space="preserve">Deployment log shows 1 change with no matching record; traced to a config fix logged late.</t>
  </si>
  <si>
    <t xml:space="preserve">F-07</t>
  </si>
  <si>
    <t xml:space="preserve">SD-01</t>
  </si>
  <si>
    <t xml:space="preserve">C. Program Development</t>
  </si>
  <si>
    <t xml:space="preserve">New projects are approved before development</t>
  </si>
  <si>
    <t xml:space="preserve">New system and major-enhancement projects are approved by a steering group with defined scope and budget.</t>
  </si>
  <si>
    <t xml:space="preserve">Unapproved development wastes resource and bypasses governance.</t>
  </si>
  <si>
    <t xml:space="preserve">IT Steering</t>
  </si>
  <si>
    <t xml:space="preserve">For the one in-scope implementation project, inspect steering-group approval and scope.</t>
  </si>
  <si>
    <t xml:space="preserve">SD-02</t>
  </si>
  <si>
    <t xml:space="preserve">Requirements and design are documented and approved</t>
  </si>
  <si>
    <t xml:space="preserve">Functional and technical designs are documented and signed off by business and IT before build.</t>
  </si>
  <si>
    <t xml:space="preserve">Poorly specified builds fail to meet control requirements.</t>
  </si>
  <si>
    <t xml:space="preserve">Project Lead</t>
  </si>
  <si>
    <t xml:space="preserve">Inspect requirements and design documents with approvals for the project.</t>
  </si>
  <si>
    <t xml:space="preserve">SD-03</t>
  </si>
  <si>
    <t xml:space="preserve">Data conversion is controlled and reconciled</t>
  </si>
  <si>
    <t xml:space="preserve">Data migrated into the ERP is reconciled to source, with record counts and control totals signed off.</t>
  </si>
  <si>
    <t xml:space="preserve">Migration errors corrupt opening financial balances.</t>
  </si>
  <si>
    <t xml:space="preserve">Data Lead</t>
  </si>
  <si>
    <t xml:space="preserve">Inspect the migration reconciliation, control totals and sign-off.</t>
  </si>
  <si>
    <t xml:space="preserve">SD-04</t>
  </si>
  <si>
    <t xml:space="preserve">Go-live is formally approved</t>
  </si>
  <si>
    <t xml:space="preserve">A go-live decision is made against defined readiness criteria and signed off before production cutover.</t>
  </si>
  <si>
    <t xml:space="preserve">Premature go-live releases an unready system.</t>
  </si>
  <si>
    <t xml:space="preserve">Inspect the go-live checklist and sign-off against readiness criteria.</t>
  </si>
  <si>
    <t xml:space="preserve">Go-live was approved, but 2 of 9 readiness criteria were open at sign-off with no documented risk acceptance.</t>
  </si>
  <si>
    <t xml:space="preserve">F-08</t>
  </si>
  <si>
    <t xml:space="preserve">SD-05</t>
  </si>
  <si>
    <t xml:space="preserve">Developers are segregated from production data</t>
  </si>
  <si>
    <t xml:space="preserve">Development uses masked or synthetic data; developers have no standing access to production financial data.</t>
  </si>
  <si>
    <t xml:space="preserve">Developer access to live data risks leakage and unreviewed change.</t>
  </si>
  <si>
    <t xml:space="preserve">Confirm non-production uses masked data and review developer access to production data stores.</t>
  </si>
  <si>
    <t xml:space="preserve">OP-01</t>
  </si>
  <si>
    <t xml:space="preserve">D. Computer Operations</t>
  </si>
  <si>
    <t xml:space="preserve">Batch jobs are scheduled and monitored</t>
  </si>
  <si>
    <t xml:space="preserve">Financial batch jobs run on an approved schedule; failures raise alerts and are resolved and documented.</t>
  </si>
  <si>
    <t xml:space="preserve">Failed or missed jobs leave financial data incomplete.</t>
  </si>
  <si>
    <t xml:space="preserve">IT Operations</t>
  </si>
  <si>
    <t xml:space="preserve">Daily</t>
  </si>
  <si>
    <t xml:space="preserve">For 4 weeks, inspect the job monitor for failures and confirm each was resolved and documented.</t>
  </si>
  <si>
    <t xml:space="preserve">OP-02</t>
  </si>
  <si>
    <t xml:space="preserve">Backups run and are verified</t>
  </si>
  <si>
    <t xml:space="preserve">ERP data is backed up on schedule; backup success is monitored and failures investigated.</t>
  </si>
  <si>
    <t xml:space="preserve">Backup failure risks irrecoverable loss of financial data.</t>
  </si>
  <si>
    <t xml:space="preserve">Inspect backup logs for 4 weeks. Confirm success monitoring and follow-up on any failures.</t>
  </si>
  <si>
    <t xml:space="preserve">OP-03</t>
  </si>
  <si>
    <t xml:space="preserve">Backup restores are tested</t>
  </si>
  <si>
    <t xml:space="preserve">A restore test is performed at least annually and the result documented.</t>
  </si>
  <si>
    <t xml:space="preserve">Backups that cannot be restored provide false assurance.</t>
  </si>
  <si>
    <t xml:space="preserve">Obtain evidence of the most recent restore test and its outcome.</t>
  </si>
  <si>
    <t xml:space="preserve">No restore test has been performed in the last 18 months. Recoverability is unproven.</t>
  </si>
  <si>
    <t xml:space="preserve">F-09</t>
  </si>
  <si>
    <t xml:space="preserve">OP-04</t>
  </si>
  <si>
    <t xml:space="preserve">Incidents are logged, triaged and resolved</t>
  </si>
  <si>
    <t xml:space="preserve">IT incidents affecting the ERP are logged, prioritised and resolved within SLA, with major incidents reviewed.</t>
  </si>
  <si>
    <t xml:space="preserve">Unmanaged incidents prolong outages and errors.</t>
  </si>
  <si>
    <t xml:space="preserve">Service Desk</t>
  </si>
  <si>
    <t xml:space="preserve">Sample 15 ERP incidents and confirm logging, prioritisation and SLA resolution.</t>
  </si>
  <si>
    <t xml:space="preserve">OP-05</t>
  </si>
  <si>
    <t xml:space="preserve">Problem management addresses recurring issues</t>
  </si>
  <si>
    <t xml:space="preserve">Recurring incidents are raised as problems and root-caused to prevent recurrence.</t>
  </si>
  <si>
    <t xml:space="preserve">Repeat failures persist without root-cause analysis.</t>
  </si>
  <si>
    <t xml:space="preserve">Inspect the problem register and confirm recurring incidents were escalated and root-caused.</t>
  </si>
  <si>
    <t xml:space="preserve">OP-06</t>
  </si>
  <si>
    <t xml:space="preserve">Capacity and availability are monitored</t>
  </si>
  <si>
    <t xml:space="preserve">System performance, capacity and availability are monitored against thresholds with alerting.</t>
  </si>
  <si>
    <t xml:space="preserve">Capacity exhaustion causes outages during financial processing.</t>
  </si>
  <si>
    <t xml:space="preserve">Confirm monitoring thresholds and review a month of capacity alerts and responses.</t>
  </si>
  <si>
    <t xml:space="preserve">OP-07</t>
  </si>
  <si>
    <t xml:space="preserve">Disaster recovery is defined and tested</t>
  </si>
  <si>
    <t xml:space="preserve">A documented DR plan exists for the ERP with defined RTO and RPO, and is tested periodically.</t>
  </si>
  <si>
    <t xml:space="preserve">An untested DR plan may fail in a real outage.</t>
  </si>
  <si>
    <t xml:space="preserve">Inspect the DR plan, confirm RTO and RPO are defined, and obtain evidence of the last DR test.</t>
  </si>
  <si>
    <t xml:space="preserve">DR plan exists with defined RTO and RPO, but the last full test was 20 months ago, outside the annual policy.</t>
  </si>
  <si>
    <t xml:space="preserve">F-10</t>
  </si>
  <si>
    <t xml:space="preserve">Finding</t>
  </si>
  <si>
    <t xml:space="preserve">Deficiency</t>
  </si>
  <si>
    <t xml:space="preserve">Root Cause</t>
  </si>
  <si>
    <t xml:space="preserve">Recommendation</t>
  </si>
  <si>
    <t xml:space="preserve">Owner</t>
  </si>
  <si>
    <t xml:space="preserve">Target Date</t>
  </si>
  <si>
    <t xml:space="preserve">Access</t>
  </si>
  <si>
    <t xml:space="preserve">8 privileged accounts exist against 5 approved; 3 holders no longer require admin rights and the register is 14 months stale.</t>
  </si>
  <si>
    <t xml:space="preserve">No periodic review of privileged access; the register is not maintained as an active control.</t>
  </si>
  <si>
    <t xml:space="preserve">Remove the 3 unneeded admin accounts now. Introduce a quarterly privileged-access review tied to the register, with IT-manager sign-off.</t>
  </si>
  <si>
    <t xml:space="preserve">31 Oct 2026</t>
  </si>
  <si>
    <t xml:space="preserve">Changes</t>
  </si>
  <si>
    <t xml:space="preserve">2 developers retain production deploy access, breaking separation between code authoring and release.</t>
  </si>
  <si>
    <t xml:space="preserve">Pipeline roles were not re-scoped after a tooling migration; deploy rights were over-granted.</t>
  </si>
  <si>
    <t xml:space="preserve">Revoke developer production-deploy rights and route all releases through the release function. Add a recurring access reconciliation.</t>
  </si>
  <si>
    <t xml:space="preserve">15 Oct 2026</t>
  </si>
  <si>
    <t xml:space="preserve">4 users hold create-and-approve payment access; 2 have no documented mitigating control.</t>
  </si>
  <si>
    <t xml:space="preserve">Role design permits the conflict and the SoD review does not consistently require a mitigating control.</t>
  </si>
  <si>
    <t xml:space="preserve">Remediate the 2 unmitigated conflicts by role change or documented monitoring. Build SoD conflicts into the access-review step.</t>
  </si>
  <si>
    <t xml:space="preserve">Operations</t>
  </si>
  <si>
    <t xml:space="preserve">No backup restore test in 18 months; recoverability of ERP data is unproven.</t>
  </si>
  <si>
    <t xml:space="preserve">Restore testing is not scheduled as a recurring operational task.</t>
  </si>
  <si>
    <t xml:space="preserve">Perform a full restore test this quarter and document the outcome. Schedule restore tests at least annually.</t>
  </si>
  <si>
    <t xml:space="preserve">30 Nov 2026</t>
  </si>
  <si>
    <t xml:space="preserve">DR plan exists with RTO and RPO defined, but the last full test was 20 months ago.</t>
  </si>
  <si>
    <t xml:space="preserve">DR testing cadence slipped and was not tracked against the annual policy.</t>
  </si>
  <si>
    <t xml:space="preserve">Run a DR test before year-end and set an annual recurring schedule with results reviewed by IT management.</t>
  </si>
  <si>
    <t xml:space="preserve">15 Dec 2026</t>
  </si>
  <si>
    <t xml:space="preserve">3 of 25 leavers were disabled 4 to 9 days late. No evidence of misuse in the gap.</t>
  </si>
  <si>
    <t xml:space="preserve">Reliance on manual HR-to-IT handoff with no automated trigger or exception alert.</t>
  </si>
  <si>
    <t xml:space="preserve">Add an automated leaver trigger from HR to IT and a weekly exception report for accounts not disabled on the leaving date.</t>
  </si>
  <si>
    <t xml:space="preserve">Q2 access recertification sign-off is undated and 2 flagged accounts were not removed.</t>
  </si>
  <si>
    <t xml:space="preserve">Review is performed but the evidence standard and follow-through on removals are not enforced.</t>
  </si>
  <si>
    <t xml:space="preserve">Re-run the Q2 review to a defined checklist, remove the flagged accounts, and require dated sign-off with action tracking.</t>
  </si>
  <si>
    <t xml:space="preserve">14 Nov 2026</t>
  </si>
  <si>
    <t xml:space="preserve">Deployment log shows 1 change with no matching approved record (late-logged config fix).</t>
  </si>
  <si>
    <t xml:space="preserve">A config fix was deployed before the change record was raised, breaking traceability.</t>
  </si>
  <si>
    <t xml:space="preserve">Reinforce no-record-no-deploy at the pipeline gate and reconcile logs to records monthly.</t>
  </si>
  <si>
    <t xml:space="preserve">21 Nov 2026</t>
  </si>
  <si>
    <t xml:space="preserve">2 of 25 changes had no retained test evidence (both low-risk config changes).</t>
  </si>
  <si>
    <t xml:space="preserve">Test evidence is not consistently attached to the change record for minor changes.</t>
  </si>
  <si>
    <t xml:space="preserve">Require test evidence or a documented low-risk waiver on every change record before approval.</t>
  </si>
  <si>
    <t xml:space="preserve">Development</t>
  </si>
  <si>
    <t xml:space="preserve">Go-live approved with 2 of 9 readiness criteria open and no documented risk acceptance.</t>
  </si>
  <si>
    <t xml:space="preserve">Readiness gate allowed sign-off without recording acceptance of open items.</t>
  </si>
  <si>
    <t xml:space="preserve">Require explicit documented risk acceptance for any open readiness criterion at go-live.</t>
  </si>
  <si>
    <t xml:space="preserve">N/A (post-event)</t>
  </si>
  <si>
    <t xml:space="preserve">ITGC Assessment Dashboard</t>
  </si>
  <si>
    <t xml:space="preserve">Live roll-up from the Control Matrix. Figures recalculate when the matrix changes.</t>
  </si>
  <si>
    <t xml:space="preserve">Controls Tested</t>
  </si>
  <si>
    <t xml:space="preserve">Open Findings</t>
  </si>
  <si>
    <t xml:space="preserve">High-Rated Deficiencies</t>
  </si>
  <si>
    <t xml:space="preserve">Results by Control Domain</t>
  </si>
  <si>
    <t xml:space="preserve">Tested</t>
  </si>
  <si>
    <t xml:space="preserve">Partial</t>
  </si>
  <si>
    <t xml:space="preserve">% Effective</t>
  </si>
  <si>
    <t xml:space="preserve">Access to Programs &amp; Data</t>
  </si>
  <si>
    <t xml:space="preserve">Program Changes</t>
  </si>
  <si>
    <t xml:space="preserve">Program Development</t>
  </si>
  <si>
    <t xml:space="preserve">Computer Operations</t>
  </si>
  <si>
    <t xml:space="preserve">Total</t>
  </si>
  <si>
    <t xml:space="preserve">Deficiencies by Risk Rating</t>
  </si>
  <si>
    <t xml:space="preserve">Rating</t>
  </si>
  <si>
    <t xml:space="preserve">Count</t>
  </si>
  <si>
    <t xml:space="preserve">Legend &amp; Rating Scales</t>
  </si>
  <si>
    <t xml:space="preserve">Test result</t>
  </si>
  <si>
    <t xml:space="preserve">Control is designed appropriately and operated without exception across the sample.</t>
  </si>
  <si>
    <t xml:space="preserve">Control operates but with exceptions or design gaps that reduce reliance.</t>
  </si>
  <si>
    <t xml:space="preserve">Control is absent, not operating, or failed such that no reliance is possible.</t>
  </si>
  <si>
    <t xml:space="preserve">Not Tested</t>
  </si>
  <si>
    <t xml:space="preserve">Control in scope but not yet tested in this cycle.</t>
  </si>
  <si>
    <t xml:space="preserve">Risk rating of a deficiency</t>
  </si>
  <si>
    <t xml:space="preserve">Direct risk to the integrity of financial data or a broken segregation of duties. Remediate before year-end reliance.</t>
  </si>
  <si>
    <t xml:space="preserve">Control weakness with a plausible path to error or misuse. Remediate on a defined timeline.</t>
  </si>
  <si>
    <t xml:space="preserve">Minor or isolated gap with limited impact. Address as housekeeping.</t>
  </si>
  <si>
    <t xml:space="preserve">Deficiency identified, remediation not yet started.</t>
  </si>
  <si>
    <t xml:space="preserve">Remediation under way, not yet verified.</t>
  </si>
  <si>
    <t xml:space="preserve">Remediation complete and verified by re-test.</t>
  </si>
  <si>
    <t xml:space="preserve">N/A</t>
  </si>
  <si>
    <t xml:space="preserve">Not applicable, for example a one-off past event with no ongoing control.</t>
  </si>
  <si>
    <t xml:space="preserve">Control type and nature</t>
  </si>
  <si>
    <t xml:space="preserve">Stops an error or unauthorised act before it happens.</t>
  </si>
  <si>
    <t xml:space="preserve">Identifies an error or issue after it has occurred.</t>
  </si>
  <si>
    <t xml:space="preserve">Performed by the system based on configuration.</t>
  </si>
  <si>
    <t xml:space="preserve">A manual control that relies on system-generated information.</t>
  </si>
  <si>
    <t xml:space="preserve">Performed by a person without a system dependency.</t>
  </si>
  <si>
    <t xml:space="preserve">Domains</t>
  </si>
  <si>
    <t xml:space="preserve">Who can get into the system and data, and what they can do once in.</t>
  </si>
  <si>
    <t xml:space="preserve">How changes to the live system are requested, tested, approved and released.</t>
  </si>
  <si>
    <t xml:space="preserve">How new systems and major enhancements are built and brought live.</t>
  </si>
  <si>
    <t xml:space="preserve">How the system is run day to day: jobs, backups, incidents, recovery.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</si>
</sst>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sz val="12"/>
      <color rgb="FF2E4057"/>
      <name val="Arial"/>
      <family val="0"/>
      <charset val="1"/>
    </font>
    <font>
      <b val="true"/>
      <sz val="10"/>
      <color rgb="FF2E4057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9"/>
      <color rgb="FF2E4057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E7D46"/>
      <name val="Arial"/>
      <family val="0"/>
      <charset val="1"/>
    </font>
    <font>
      <b val="true"/>
      <sz val="9"/>
      <color rgb="FFB8860B"/>
      <name val="Arial"/>
      <family val="0"/>
      <charset val="1"/>
    </font>
    <font>
      <b val="true"/>
      <sz val="9"/>
      <color rgb="FFB22222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1F3A5F"/>
      <name val="Arial"/>
      <family val="0"/>
      <charset val="1"/>
    </font>
    <font>
      <b val="true"/>
      <sz val="22"/>
      <color rgb="FF1E7D46"/>
      <name val="Arial"/>
      <family val="0"/>
      <charset val="1"/>
    </font>
    <font>
      <b val="true"/>
      <sz val="22"/>
      <color rgb="FFB8860B"/>
      <name val="Arial"/>
      <family val="0"/>
      <charset val="1"/>
    </font>
    <font>
      <b val="true"/>
      <sz val="22"/>
      <color rgb="FFB22222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2"/>
      <color rgb="FF2E4057"/>
      <name val="Arial"/>
      <family val="0"/>
      <charset val="1"/>
    </font>
    <font>
      <b val="true"/>
      <sz val="10"/>
      <color rgb="FF1E7D46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0"/>
      <color rgb="FFB22222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AF0F6"/>
        <bgColor rgb="FFE8EEF5"/>
      </patternFill>
    </fill>
    <fill>
      <patternFill patternType="solid">
        <fgColor rgb="FF1F3A5F"/>
        <bgColor rgb="FF2E4057"/>
      </patternFill>
    </fill>
    <fill>
      <patternFill patternType="solid">
        <fgColor rgb="FFE8EEF5"/>
        <bgColor rgb="FFEAF0F6"/>
      </patternFill>
    </fill>
    <fill>
      <patternFill patternType="solid">
        <fgColor rgb="FFEAF1EC"/>
        <bgColor rgb="FFEAF0F6"/>
      </patternFill>
    </fill>
    <fill>
      <patternFill patternType="solid">
        <fgColor rgb="FFF3EEF6"/>
        <bgColor rgb="FFEAF0F6"/>
      </patternFill>
    </fill>
    <fill>
      <patternFill patternType="solid">
        <fgColor rgb="FFFBF0E8"/>
        <bgColor rgb="FFF3EEF6"/>
      </patternFill>
    </fill>
    <fill>
      <patternFill patternType="solid">
        <fgColor rgb="FF1E7D46"/>
        <bgColor rgb="FF008080"/>
      </patternFill>
    </fill>
    <fill>
      <patternFill patternType="solid">
        <fgColor rgb="FFB8860B"/>
        <bgColor rgb="FFFF9900"/>
      </patternFill>
    </fill>
    <fill>
      <patternFill patternType="solid">
        <fgColor rgb="FFB22222"/>
        <bgColor rgb="FF993366"/>
      </patternFill>
    </fill>
    <fill>
      <patternFill patternType="solid">
        <fgColor rgb="FF2E4057"/>
        <bgColor rgb="FF1F3A5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0DA"/>
      </left>
      <right style="thin">
        <color rgb="FFC7D0DA"/>
      </right>
      <top style="thin">
        <color rgb="FFC7D0DA"/>
      </top>
      <bottom style="thin">
        <color rgb="FFC7D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8EEF5"/>
          <bgColor rgb="FF000000"/>
        </patternFill>
      </fill>
    </dxf>
    <dxf>
      <fill>
        <patternFill patternType="solid">
          <fgColor rgb="FFEAF1EC"/>
          <bgColor rgb="FF000000"/>
        </patternFill>
      </fill>
    </dxf>
    <dxf>
      <fill>
        <patternFill patternType="solid">
          <fgColor rgb="FFF3EEF6"/>
          <bgColor rgb="FF000000"/>
        </patternFill>
      </fill>
    </dxf>
    <dxf>
      <fill>
        <patternFill patternType="solid">
          <fgColor rgb="FFFBF0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40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1E7D46"/>
          <bgColor rgb="FF000000"/>
        </patternFill>
      </fill>
    </dxf>
    <dxf>
      <fill>
        <patternFill patternType="solid">
          <fgColor rgb="FFB22222"/>
          <bgColor rgb="FF000000"/>
        </patternFill>
      </fill>
    </dxf>
    <dxf>
      <fill>
        <patternFill patternType="solid">
          <fgColor rgb="FFB8860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1E7D46"/>
      <rgbColor rgb="FFC0C0C0"/>
      <rgbColor rgb="FF808080"/>
      <rgbColor rgb="FF9999FF"/>
      <rgbColor rgb="FF993366"/>
      <rgbColor rgb="FFFBF0E8"/>
      <rgbColor rgb="FFEAF0F6"/>
      <rgbColor rgb="FF660066"/>
      <rgbColor rgb="FFFF8080"/>
      <rgbColor rgb="FF0066CC"/>
      <rgbColor rgb="FFC7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5"/>
      <rgbColor rgb="FFEAF1EC"/>
      <rgbColor rgb="FFF3EEF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1A1A1A"/>
      <rgbColor rgb="FFB22222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8"/>
    <col collapsed="false" customWidth="true" hidden="false" outlineLevel="0" max="4" min="4" style="0" width="3"/>
  </cols>
  <sheetData>
    <row r="2" customFormat="false" ht="30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8" customFormat="false" ht="30" hidden="false" customHeight="true" outlineLevel="0" collapsed="false">
      <c r="B8" s="3" t="s">
        <v>8</v>
      </c>
      <c r="C8" s="4" t="s">
        <v>9</v>
      </c>
    </row>
    <row r="9" customFormat="false" ht="30" hidden="false" customHeight="true" outlineLevel="0" collapsed="false">
      <c r="B9" s="3" t="s">
        <v>10</v>
      </c>
      <c r="C9" s="4" t="s">
        <v>11</v>
      </c>
    </row>
    <row r="10" customFormat="false" ht="30" hidden="false" customHeight="true" outlineLevel="0" collapsed="false">
      <c r="B10" s="3" t="s">
        <v>12</v>
      </c>
      <c r="C10" s="4" t="s">
        <v>13</v>
      </c>
    </row>
    <row r="11" customFormat="false" ht="30" hidden="false" customHeight="true" outlineLevel="0" collapsed="false">
      <c r="B11" s="3" t="s">
        <v>14</v>
      </c>
      <c r="C11" s="4" t="s">
        <v>15</v>
      </c>
    </row>
    <row r="13" customFormat="false" ht="21.75" hidden="false" customHeight="true" outlineLevel="0" collapsed="false">
      <c r="B13" s="5" t="s">
        <v>16</v>
      </c>
      <c r="C13" s="5"/>
    </row>
    <row r="14" customFormat="false" ht="27.75" hidden="false" customHeight="true" outlineLevel="0" collapsed="false">
      <c r="B14" s="6" t="s">
        <v>17</v>
      </c>
      <c r="C14" s="6"/>
    </row>
    <row r="15" customFormat="false" ht="27.75" hidden="false" customHeight="true" outlineLevel="0" collapsed="false">
      <c r="B15" s="6" t="s">
        <v>18</v>
      </c>
      <c r="C15" s="6"/>
    </row>
    <row r="16" customFormat="false" ht="27.75" hidden="false" customHeight="true" outlineLevel="0" collapsed="false">
      <c r="B16" s="6" t="s">
        <v>19</v>
      </c>
      <c r="C16" s="6"/>
    </row>
    <row r="17" customFormat="false" ht="27.75" hidden="false" customHeight="true" outlineLevel="0" collapsed="false">
      <c r="B17" s="6" t="s">
        <v>20</v>
      </c>
      <c r="C17" s="6"/>
    </row>
    <row r="18" customFormat="false" ht="27.75" hidden="false" customHeight="true" outlineLevel="0" collapsed="false">
      <c r="B18" s="6" t="s">
        <v>21</v>
      </c>
      <c r="C18" s="6"/>
    </row>
  </sheetData>
  <mergeCells count="8">
    <mergeCell ref="B2:C2"/>
    <mergeCell ref="B3:C3"/>
    <mergeCell ref="B13:C13"/>
    <mergeCell ref="B14:C14"/>
    <mergeCell ref="B15:C15"/>
    <mergeCell ref="B16:C16"/>
    <mergeCell ref="B17:C17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46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3" min="13" style="0" width="4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33.75" hidden="false" customHeight="true" outlineLevel="0" collapsed="false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 t="s">
        <v>37</v>
      </c>
    </row>
    <row r="2" customFormat="false" ht="66" hidden="false" customHeight="true" outlineLevel="0" collapsed="false">
      <c r="A2" s="8" t="s">
        <v>38</v>
      </c>
      <c r="B2" s="9" t="s">
        <v>39</v>
      </c>
      <c r="C2" s="10" t="s">
        <v>40</v>
      </c>
      <c r="D2" s="10" t="s">
        <v>41</v>
      </c>
      <c r="E2" s="10" t="s">
        <v>42</v>
      </c>
      <c r="F2" s="11" t="s">
        <v>43</v>
      </c>
      <c r="G2" s="12" t="s">
        <v>44</v>
      </c>
      <c r="H2" s="12" t="s">
        <v>45</v>
      </c>
      <c r="I2" s="11" t="s">
        <v>46</v>
      </c>
      <c r="J2" s="10" t="s">
        <v>47</v>
      </c>
      <c r="K2" s="12" t="n">
        <v>25</v>
      </c>
      <c r="L2" s="13" t="s">
        <v>48</v>
      </c>
      <c r="M2" s="10"/>
      <c r="N2" s="12"/>
      <c r="O2" s="13" t="s">
        <v>49</v>
      </c>
      <c r="P2" s="12" t="s">
        <v>50</v>
      </c>
    </row>
    <row r="3" customFormat="false" ht="66" hidden="false" customHeight="true" outlineLevel="0" collapsed="false">
      <c r="A3" s="8" t="s">
        <v>51</v>
      </c>
      <c r="B3" s="9" t="s">
        <v>39</v>
      </c>
      <c r="C3" s="10" t="s">
        <v>52</v>
      </c>
      <c r="D3" s="10" t="s">
        <v>53</v>
      </c>
      <c r="E3" s="10" t="s">
        <v>54</v>
      </c>
      <c r="F3" s="11" t="s">
        <v>43</v>
      </c>
      <c r="G3" s="12" t="s">
        <v>44</v>
      </c>
      <c r="H3" s="12" t="s">
        <v>45</v>
      </c>
      <c r="I3" s="11" t="s">
        <v>46</v>
      </c>
      <c r="J3" s="10" t="s">
        <v>55</v>
      </c>
      <c r="K3" s="12" t="n">
        <v>25</v>
      </c>
      <c r="L3" s="14" t="s">
        <v>56</v>
      </c>
      <c r="M3" s="10" t="s">
        <v>57</v>
      </c>
      <c r="N3" s="12" t="s">
        <v>58</v>
      </c>
      <c r="O3" s="14" t="s">
        <v>59</v>
      </c>
      <c r="P3" s="12" t="s">
        <v>60</v>
      </c>
    </row>
    <row r="4" customFormat="false" ht="66" hidden="false" customHeight="true" outlineLevel="0" collapsed="false">
      <c r="A4" s="8" t="s">
        <v>61</v>
      </c>
      <c r="B4" s="9" t="s">
        <v>39</v>
      </c>
      <c r="C4" s="10" t="s">
        <v>62</v>
      </c>
      <c r="D4" s="10" t="s">
        <v>63</v>
      </c>
      <c r="E4" s="10" t="s">
        <v>64</v>
      </c>
      <c r="F4" s="11" t="s">
        <v>65</v>
      </c>
      <c r="G4" s="12" t="s">
        <v>66</v>
      </c>
      <c r="H4" s="12" t="s">
        <v>67</v>
      </c>
      <c r="I4" s="11" t="s">
        <v>68</v>
      </c>
      <c r="J4" s="10" t="s">
        <v>69</v>
      </c>
      <c r="K4" s="12" t="n">
        <v>2</v>
      </c>
      <c r="L4" s="14" t="s">
        <v>56</v>
      </c>
      <c r="M4" s="10" t="s">
        <v>70</v>
      </c>
      <c r="N4" s="12" t="s">
        <v>71</v>
      </c>
      <c r="O4" s="14" t="s">
        <v>59</v>
      </c>
      <c r="P4" s="12" t="s">
        <v>60</v>
      </c>
    </row>
    <row r="5" customFormat="false" ht="66" hidden="false" customHeight="true" outlineLevel="0" collapsed="false">
      <c r="A5" s="8" t="s">
        <v>72</v>
      </c>
      <c r="B5" s="9" t="s">
        <v>39</v>
      </c>
      <c r="C5" s="10" t="s">
        <v>73</v>
      </c>
      <c r="D5" s="10" t="s">
        <v>74</v>
      </c>
      <c r="E5" s="10" t="s">
        <v>75</v>
      </c>
      <c r="F5" s="11" t="s">
        <v>76</v>
      </c>
      <c r="G5" s="12" t="s">
        <v>44</v>
      </c>
      <c r="H5" s="12" t="s">
        <v>45</v>
      </c>
      <c r="I5" s="11" t="s">
        <v>68</v>
      </c>
      <c r="J5" s="10" t="s">
        <v>77</v>
      </c>
      <c r="K5" s="12" t="n">
        <v>12</v>
      </c>
      <c r="L5" s="15" t="s">
        <v>78</v>
      </c>
      <c r="M5" s="10" t="s">
        <v>79</v>
      </c>
      <c r="N5" s="12" t="s">
        <v>80</v>
      </c>
      <c r="O5" s="15" t="s">
        <v>81</v>
      </c>
      <c r="P5" s="12" t="s">
        <v>82</v>
      </c>
    </row>
    <row r="6" customFormat="false" ht="66" hidden="false" customHeight="true" outlineLevel="0" collapsed="false">
      <c r="A6" s="8" t="s">
        <v>83</v>
      </c>
      <c r="B6" s="9" t="s">
        <v>39</v>
      </c>
      <c r="C6" s="10" t="s">
        <v>84</v>
      </c>
      <c r="D6" s="10" t="s">
        <v>85</v>
      </c>
      <c r="E6" s="10" t="s">
        <v>86</v>
      </c>
      <c r="F6" s="11" t="s">
        <v>43</v>
      </c>
      <c r="G6" s="12" t="s">
        <v>87</v>
      </c>
      <c r="H6" s="12" t="s">
        <v>45</v>
      </c>
      <c r="I6" s="11" t="s">
        <v>88</v>
      </c>
      <c r="J6" s="10" t="s">
        <v>89</v>
      </c>
      <c r="K6" s="12" t="n">
        <v>1</v>
      </c>
      <c r="L6" s="13" t="s">
        <v>48</v>
      </c>
      <c r="M6" s="10"/>
      <c r="N6" s="12"/>
      <c r="O6" s="13" t="s">
        <v>49</v>
      </c>
      <c r="P6" s="12" t="s">
        <v>50</v>
      </c>
    </row>
    <row r="7" customFormat="false" ht="66" hidden="false" customHeight="true" outlineLevel="0" collapsed="false">
      <c r="A7" s="8" t="s">
        <v>90</v>
      </c>
      <c r="B7" s="9" t="s">
        <v>39</v>
      </c>
      <c r="C7" s="10" t="s">
        <v>91</v>
      </c>
      <c r="D7" s="10" t="s">
        <v>92</v>
      </c>
      <c r="E7" s="10" t="s">
        <v>93</v>
      </c>
      <c r="F7" s="11" t="s">
        <v>94</v>
      </c>
      <c r="G7" s="12" t="s">
        <v>87</v>
      </c>
      <c r="H7" s="12" t="s">
        <v>45</v>
      </c>
      <c r="I7" s="11" t="s">
        <v>88</v>
      </c>
      <c r="J7" s="10" t="s">
        <v>95</v>
      </c>
      <c r="K7" s="12" t="n">
        <v>1</v>
      </c>
      <c r="L7" s="14" t="s">
        <v>56</v>
      </c>
      <c r="M7" s="10" t="s">
        <v>96</v>
      </c>
      <c r="N7" s="12" t="s">
        <v>97</v>
      </c>
      <c r="O7" s="15" t="s">
        <v>81</v>
      </c>
      <c r="P7" s="12" t="s">
        <v>82</v>
      </c>
    </row>
    <row r="8" customFormat="false" ht="66" hidden="false" customHeight="true" outlineLevel="0" collapsed="false">
      <c r="A8" s="8" t="s">
        <v>98</v>
      </c>
      <c r="B8" s="9" t="s">
        <v>39</v>
      </c>
      <c r="C8" s="10" t="s">
        <v>99</v>
      </c>
      <c r="D8" s="10" t="s">
        <v>100</v>
      </c>
      <c r="E8" s="10" t="s">
        <v>101</v>
      </c>
      <c r="F8" s="11" t="s">
        <v>43</v>
      </c>
      <c r="G8" s="12" t="s">
        <v>66</v>
      </c>
      <c r="H8" s="12" t="s">
        <v>67</v>
      </c>
      <c r="I8" s="11" t="s">
        <v>68</v>
      </c>
      <c r="J8" s="10" t="s">
        <v>102</v>
      </c>
      <c r="K8" s="12" t="n">
        <v>5</v>
      </c>
      <c r="L8" s="13" t="s">
        <v>48</v>
      </c>
      <c r="M8" s="10"/>
      <c r="N8" s="12"/>
      <c r="O8" s="13" t="s">
        <v>49</v>
      </c>
      <c r="P8" s="12" t="s">
        <v>50</v>
      </c>
    </row>
    <row r="9" customFormat="false" ht="66" hidden="false" customHeight="true" outlineLevel="0" collapsed="false">
      <c r="A9" s="8" t="s">
        <v>103</v>
      </c>
      <c r="B9" s="9" t="s">
        <v>39</v>
      </c>
      <c r="C9" s="10" t="s">
        <v>104</v>
      </c>
      <c r="D9" s="10" t="s">
        <v>105</v>
      </c>
      <c r="E9" s="10" t="s">
        <v>106</v>
      </c>
      <c r="F9" s="11" t="s">
        <v>107</v>
      </c>
      <c r="G9" s="12" t="s">
        <v>87</v>
      </c>
      <c r="H9" s="12" t="s">
        <v>45</v>
      </c>
      <c r="I9" s="11" t="s">
        <v>46</v>
      </c>
      <c r="J9" s="10" t="s">
        <v>108</v>
      </c>
      <c r="K9" s="12" t="n">
        <v>6</v>
      </c>
      <c r="L9" s="13" t="s">
        <v>48</v>
      </c>
      <c r="M9" s="10"/>
      <c r="N9" s="12"/>
      <c r="O9" s="13" t="s">
        <v>49</v>
      </c>
      <c r="P9" s="12" t="s">
        <v>50</v>
      </c>
    </row>
    <row r="10" customFormat="false" ht="66" hidden="false" customHeight="true" outlineLevel="0" collapsed="false">
      <c r="A10" s="8" t="s">
        <v>109</v>
      </c>
      <c r="B10" s="9" t="s">
        <v>39</v>
      </c>
      <c r="C10" s="10" t="s">
        <v>110</v>
      </c>
      <c r="D10" s="10" t="s">
        <v>111</v>
      </c>
      <c r="E10" s="10" t="s">
        <v>112</v>
      </c>
      <c r="F10" s="11" t="s">
        <v>107</v>
      </c>
      <c r="G10" s="12" t="s">
        <v>113</v>
      </c>
      <c r="H10" s="12" t="s">
        <v>45</v>
      </c>
      <c r="I10" s="11" t="s">
        <v>68</v>
      </c>
      <c r="J10" s="10" t="s">
        <v>114</v>
      </c>
      <c r="K10" s="12" t="n">
        <v>1</v>
      </c>
      <c r="L10" s="13" t="s">
        <v>48</v>
      </c>
      <c r="M10" s="10"/>
      <c r="N10" s="12"/>
      <c r="O10" s="13" t="s">
        <v>49</v>
      </c>
      <c r="P10" s="12" t="s">
        <v>50</v>
      </c>
    </row>
    <row r="11" customFormat="false" ht="66" hidden="false" customHeight="true" outlineLevel="0" collapsed="false">
      <c r="A11" s="8" t="s">
        <v>115</v>
      </c>
      <c r="B11" s="9" t="s">
        <v>39</v>
      </c>
      <c r="C11" s="10" t="s">
        <v>116</v>
      </c>
      <c r="D11" s="10" t="s">
        <v>117</v>
      </c>
      <c r="E11" s="10" t="s">
        <v>118</v>
      </c>
      <c r="F11" s="11" t="s">
        <v>94</v>
      </c>
      <c r="G11" s="12" t="s">
        <v>66</v>
      </c>
      <c r="H11" s="12" t="s">
        <v>67</v>
      </c>
      <c r="I11" s="11" t="s">
        <v>68</v>
      </c>
      <c r="J11" s="10" t="s">
        <v>119</v>
      </c>
      <c r="K11" s="12" t="n">
        <v>15</v>
      </c>
      <c r="L11" s="13" t="s">
        <v>48</v>
      </c>
      <c r="M11" s="10"/>
      <c r="N11" s="12"/>
      <c r="O11" s="13" t="s">
        <v>49</v>
      </c>
      <c r="P11" s="12" t="s">
        <v>50</v>
      </c>
    </row>
    <row r="12" customFormat="false" ht="66" hidden="false" customHeight="true" outlineLevel="0" collapsed="false">
      <c r="A12" s="8" t="s">
        <v>120</v>
      </c>
      <c r="B12" s="9" t="s">
        <v>39</v>
      </c>
      <c r="C12" s="10" t="s">
        <v>121</v>
      </c>
      <c r="D12" s="10" t="s">
        <v>122</v>
      </c>
      <c r="E12" s="10" t="s">
        <v>123</v>
      </c>
      <c r="F12" s="11" t="s">
        <v>43</v>
      </c>
      <c r="G12" s="12" t="s">
        <v>44</v>
      </c>
      <c r="H12" s="12" t="s">
        <v>45</v>
      </c>
      <c r="I12" s="11" t="s">
        <v>46</v>
      </c>
      <c r="J12" s="10" t="s">
        <v>124</v>
      </c>
      <c r="K12" s="12" t="n">
        <v>3</v>
      </c>
      <c r="L12" s="13" t="s">
        <v>48</v>
      </c>
      <c r="M12" s="10"/>
      <c r="N12" s="12"/>
      <c r="O12" s="13" t="s">
        <v>49</v>
      </c>
      <c r="P12" s="12" t="s">
        <v>50</v>
      </c>
    </row>
    <row r="13" customFormat="false" ht="66" hidden="false" customHeight="true" outlineLevel="0" collapsed="false">
      <c r="A13" s="8" t="s">
        <v>125</v>
      </c>
      <c r="B13" s="9" t="s">
        <v>39</v>
      </c>
      <c r="C13" s="10" t="s">
        <v>126</v>
      </c>
      <c r="D13" s="10" t="s">
        <v>127</v>
      </c>
      <c r="E13" s="10" t="s">
        <v>128</v>
      </c>
      <c r="F13" s="11" t="s">
        <v>129</v>
      </c>
      <c r="G13" s="12" t="s">
        <v>87</v>
      </c>
      <c r="H13" s="12" t="s">
        <v>67</v>
      </c>
      <c r="I13" s="11" t="s">
        <v>88</v>
      </c>
      <c r="J13" s="10" t="s">
        <v>130</v>
      </c>
      <c r="K13" s="12" t="n">
        <v>4</v>
      </c>
      <c r="L13" s="13" t="s">
        <v>48</v>
      </c>
      <c r="M13" s="10"/>
      <c r="N13" s="12"/>
      <c r="O13" s="13" t="s">
        <v>49</v>
      </c>
      <c r="P13" s="12" t="s">
        <v>50</v>
      </c>
    </row>
    <row r="14" customFormat="false" ht="66" hidden="false" customHeight="true" outlineLevel="0" collapsed="false">
      <c r="A14" s="16" t="s">
        <v>131</v>
      </c>
      <c r="B14" s="17" t="s">
        <v>132</v>
      </c>
      <c r="C14" s="10" t="s">
        <v>133</v>
      </c>
      <c r="D14" s="10" t="s">
        <v>134</v>
      </c>
      <c r="E14" s="10" t="s">
        <v>135</v>
      </c>
      <c r="F14" s="11" t="s">
        <v>136</v>
      </c>
      <c r="G14" s="12" t="s">
        <v>44</v>
      </c>
      <c r="H14" s="12" t="s">
        <v>45</v>
      </c>
      <c r="I14" s="11" t="s">
        <v>46</v>
      </c>
      <c r="J14" s="10" t="s">
        <v>137</v>
      </c>
      <c r="K14" s="12" t="n">
        <v>25</v>
      </c>
      <c r="L14" s="13" t="s">
        <v>48</v>
      </c>
      <c r="M14" s="10"/>
      <c r="N14" s="12"/>
      <c r="O14" s="13" t="s">
        <v>49</v>
      </c>
      <c r="P14" s="12" t="s">
        <v>50</v>
      </c>
    </row>
    <row r="15" customFormat="false" ht="66" hidden="false" customHeight="true" outlineLevel="0" collapsed="false">
      <c r="A15" s="16" t="s">
        <v>138</v>
      </c>
      <c r="B15" s="17" t="s">
        <v>132</v>
      </c>
      <c r="C15" s="10" t="s">
        <v>139</v>
      </c>
      <c r="D15" s="10" t="s">
        <v>140</v>
      </c>
      <c r="E15" s="10" t="s">
        <v>141</v>
      </c>
      <c r="F15" s="11" t="s">
        <v>142</v>
      </c>
      <c r="G15" s="12" t="s">
        <v>44</v>
      </c>
      <c r="H15" s="12" t="s">
        <v>45</v>
      </c>
      <c r="I15" s="11" t="s">
        <v>68</v>
      </c>
      <c r="J15" s="10" t="s">
        <v>143</v>
      </c>
      <c r="K15" s="12" t="n">
        <v>25</v>
      </c>
      <c r="L15" s="14" t="s">
        <v>56</v>
      </c>
      <c r="M15" s="10" t="s">
        <v>144</v>
      </c>
      <c r="N15" s="12" t="s">
        <v>145</v>
      </c>
      <c r="O15" s="13" t="s">
        <v>49</v>
      </c>
      <c r="P15" s="12" t="s">
        <v>60</v>
      </c>
    </row>
    <row r="16" customFormat="false" ht="66" hidden="false" customHeight="true" outlineLevel="0" collapsed="false">
      <c r="A16" s="16" t="s">
        <v>146</v>
      </c>
      <c r="B16" s="17" t="s">
        <v>132</v>
      </c>
      <c r="C16" s="10" t="s">
        <v>147</v>
      </c>
      <c r="D16" s="10" t="s">
        <v>148</v>
      </c>
      <c r="E16" s="10" t="s">
        <v>149</v>
      </c>
      <c r="F16" s="11" t="s">
        <v>150</v>
      </c>
      <c r="G16" s="12" t="s">
        <v>44</v>
      </c>
      <c r="H16" s="12" t="s">
        <v>45</v>
      </c>
      <c r="I16" s="11" t="s">
        <v>68</v>
      </c>
      <c r="J16" s="10" t="s">
        <v>151</v>
      </c>
      <c r="K16" s="12" t="n">
        <v>25</v>
      </c>
      <c r="L16" s="13" t="s">
        <v>48</v>
      </c>
      <c r="M16" s="10"/>
      <c r="N16" s="12"/>
      <c r="O16" s="13" t="s">
        <v>49</v>
      </c>
      <c r="P16" s="12" t="s">
        <v>50</v>
      </c>
    </row>
    <row r="17" customFormat="false" ht="66" hidden="false" customHeight="true" outlineLevel="0" collapsed="false">
      <c r="A17" s="16" t="s">
        <v>152</v>
      </c>
      <c r="B17" s="17" t="s">
        <v>132</v>
      </c>
      <c r="C17" s="10" t="s">
        <v>153</v>
      </c>
      <c r="D17" s="10" t="s">
        <v>154</v>
      </c>
      <c r="E17" s="10" t="s">
        <v>155</v>
      </c>
      <c r="F17" s="11" t="s">
        <v>156</v>
      </c>
      <c r="G17" s="12" t="s">
        <v>87</v>
      </c>
      <c r="H17" s="12" t="s">
        <v>45</v>
      </c>
      <c r="I17" s="11" t="s">
        <v>88</v>
      </c>
      <c r="J17" s="10" t="s">
        <v>157</v>
      </c>
      <c r="K17" s="12" t="n">
        <v>1</v>
      </c>
      <c r="L17" s="15" t="s">
        <v>78</v>
      </c>
      <c r="M17" s="10" t="s">
        <v>158</v>
      </c>
      <c r="N17" s="12" t="s">
        <v>159</v>
      </c>
      <c r="O17" s="15" t="s">
        <v>81</v>
      </c>
      <c r="P17" s="12" t="s">
        <v>82</v>
      </c>
    </row>
    <row r="18" customFormat="false" ht="66" hidden="false" customHeight="true" outlineLevel="0" collapsed="false">
      <c r="A18" s="16" t="s">
        <v>160</v>
      </c>
      <c r="B18" s="17" t="s">
        <v>132</v>
      </c>
      <c r="C18" s="10" t="s">
        <v>161</v>
      </c>
      <c r="D18" s="10" t="s">
        <v>162</v>
      </c>
      <c r="E18" s="10" t="s">
        <v>163</v>
      </c>
      <c r="F18" s="11" t="s">
        <v>136</v>
      </c>
      <c r="G18" s="12" t="s">
        <v>44</v>
      </c>
      <c r="H18" s="12" t="s">
        <v>67</v>
      </c>
      <c r="I18" s="11" t="s">
        <v>68</v>
      </c>
      <c r="J18" s="10" t="s">
        <v>164</v>
      </c>
      <c r="K18" s="12" t="n">
        <v>4</v>
      </c>
      <c r="L18" s="13" t="s">
        <v>48</v>
      </c>
      <c r="M18" s="10"/>
      <c r="N18" s="12"/>
      <c r="O18" s="13" t="s">
        <v>49</v>
      </c>
      <c r="P18" s="12" t="s">
        <v>50</v>
      </c>
    </row>
    <row r="19" customFormat="false" ht="66" hidden="false" customHeight="true" outlineLevel="0" collapsed="false">
      <c r="A19" s="16" t="s">
        <v>165</v>
      </c>
      <c r="B19" s="17" t="s">
        <v>132</v>
      </c>
      <c r="C19" s="10" t="s">
        <v>166</v>
      </c>
      <c r="D19" s="10" t="s">
        <v>167</v>
      </c>
      <c r="E19" s="10" t="s">
        <v>168</v>
      </c>
      <c r="F19" s="11" t="s">
        <v>107</v>
      </c>
      <c r="G19" s="12" t="s">
        <v>87</v>
      </c>
      <c r="H19" s="12" t="s">
        <v>45</v>
      </c>
      <c r="I19" s="11" t="s">
        <v>88</v>
      </c>
      <c r="J19" s="10" t="s">
        <v>169</v>
      </c>
      <c r="K19" s="12" t="n">
        <v>1</v>
      </c>
      <c r="L19" s="13" t="s">
        <v>48</v>
      </c>
      <c r="M19" s="10"/>
      <c r="N19" s="12"/>
      <c r="O19" s="13" t="s">
        <v>49</v>
      </c>
      <c r="P19" s="12" t="s">
        <v>50</v>
      </c>
    </row>
    <row r="20" customFormat="false" ht="66" hidden="false" customHeight="true" outlineLevel="0" collapsed="false">
      <c r="A20" s="16" t="s">
        <v>170</v>
      </c>
      <c r="B20" s="17" t="s">
        <v>132</v>
      </c>
      <c r="C20" s="10" t="s">
        <v>171</v>
      </c>
      <c r="D20" s="10" t="s">
        <v>172</v>
      </c>
      <c r="E20" s="10" t="s">
        <v>173</v>
      </c>
      <c r="F20" s="11" t="s">
        <v>107</v>
      </c>
      <c r="G20" s="12" t="s">
        <v>66</v>
      </c>
      <c r="H20" s="12" t="s">
        <v>45</v>
      </c>
      <c r="I20" s="11" t="s">
        <v>46</v>
      </c>
      <c r="J20" s="10" t="s">
        <v>174</v>
      </c>
      <c r="K20" s="12" t="n">
        <v>2</v>
      </c>
      <c r="L20" s="13" t="s">
        <v>48</v>
      </c>
      <c r="M20" s="10"/>
      <c r="N20" s="12"/>
      <c r="O20" s="13" t="s">
        <v>49</v>
      </c>
      <c r="P20" s="12" t="s">
        <v>50</v>
      </c>
    </row>
    <row r="21" customFormat="false" ht="66" hidden="false" customHeight="true" outlineLevel="0" collapsed="false">
      <c r="A21" s="16" t="s">
        <v>175</v>
      </c>
      <c r="B21" s="17" t="s">
        <v>132</v>
      </c>
      <c r="C21" s="10" t="s">
        <v>176</v>
      </c>
      <c r="D21" s="10" t="s">
        <v>177</v>
      </c>
      <c r="E21" s="10" t="s">
        <v>178</v>
      </c>
      <c r="F21" s="11" t="s">
        <v>136</v>
      </c>
      <c r="G21" s="12" t="s">
        <v>179</v>
      </c>
      <c r="H21" s="12" t="s">
        <v>67</v>
      </c>
      <c r="I21" s="11" t="s">
        <v>46</v>
      </c>
      <c r="J21" s="10" t="s">
        <v>180</v>
      </c>
      <c r="K21" s="12" t="n">
        <v>2</v>
      </c>
      <c r="L21" s="14" t="s">
        <v>56</v>
      </c>
      <c r="M21" s="10" t="s">
        <v>181</v>
      </c>
      <c r="N21" s="12" t="s">
        <v>182</v>
      </c>
      <c r="O21" s="14" t="s">
        <v>59</v>
      </c>
      <c r="P21" s="12" t="s">
        <v>60</v>
      </c>
    </row>
    <row r="22" customFormat="false" ht="66" hidden="false" customHeight="true" outlineLevel="0" collapsed="false">
      <c r="A22" s="18" t="s">
        <v>183</v>
      </c>
      <c r="B22" s="19" t="s">
        <v>184</v>
      </c>
      <c r="C22" s="10" t="s">
        <v>185</v>
      </c>
      <c r="D22" s="10" t="s">
        <v>186</v>
      </c>
      <c r="E22" s="10" t="s">
        <v>187</v>
      </c>
      <c r="F22" s="11" t="s">
        <v>188</v>
      </c>
      <c r="G22" s="12" t="s">
        <v>44</v>
      </c>
      <c r="H22" s="12" t="s">
        <v>45</v>
      </c>
      <c r="I22" s="11" t="s">
        <v>68</v>
      </c>
      <c r="J22" s="10" t="s">
        <v>189</v>
      </c>
      <c r="K22" s="12" t="n">
        <v>1</v>
      </c>
      <c r="L22" s="13" t="s">
        <v>48</v>
      </c>
      <c r="M22" s="10"/>
      <c r="N22" s="12"/>
      <c r="O22" s="13" t="s">
        <v>49</v>
      </c>
      <c r="P22" s="12" t="s">
        <v>50</v>
      </c>
    </row>
    <row r="23" customFormat="false" ht="66" hidden="false" customHeight="true" outlineLevel="0" collapsed="false">
      <c r="A23" s="18" t="s">
        <v>190</v>
      </c>
      <c r="B23" s="19" t="s">
        <v>184</v>
      </c>
      <c r="C23" s="10" t="s">
        <v>191</v>
      </c>
      <c r="D23" s="10" t="s">
        <v>192</v>
      </c>
      <c r="E23" s="10" t="s">
        <v>193</v>
      </c>
      <c r="F23" s="11" t="s">
        <v>194</v>
      </c>
      <c r="G23" s="12" t="s">
        <v>44</v>
      </c>
      <c r="H23" s="12" t="s">
        <v>45</v>
      </c>
      <c r="I23" s="11" t="s">
        <v>68</v>
      </c>
      <c r="J23" s="10" t="s">
        <v>195</v>
      </c>
      <c r="K23" s="12" t="n">
        <v>1</v>
      </c>
      <c r="L23" s="13" t="s">
        <v>48</v>
      </c>
      <c r="M23" s="10"/>
      <c r="N23" s="12"/>
      <c r="O23" s="13" t="s">
        <v>49</v>
      </c>
      <c r="P23" s="12" t="s">
        <v>50</v>
      </c>
    </row>
    <row r="24" customFormat="false" ht="66" hidden="false" customHeight="true" outlineLevel="0" collapsed="false">
      <c r="A24" s="18" t="s">
        <v>196</v>
      </c>
      <c r="B24" s="19" t="s">
        <v>184</v>
      </c>
      <c r="C24" s="10" t="s">
        <v>197</v>
      </c>
      <c r="D24" s="10" t="s">
        <v>198</v>
      </c>
      <c r="E24" s="10" t="s">
        <v>199</v>
      </c>
      <c r="F24" s="11" t="s">
        <v>200</v>
      </c>
      <c r="G24" s="12" t="s">
        <v>44</v>
      </c>
      <c r="H24" s="12" t="s">
        <v>67</v>
      </c>
      <c r="I24" s="11" t="s">
        <v>46</v>
      </c>
      <c r="J24" s="10" t="s">
        <v>201</v>
      </c>
      <c r="K24" s="12" t="n">
        <v>1</v>
      </c>
      <c r="L24" s="13" t="s">
        <v>48</v>
      </c>
      <c r="M24" s="10"/>
      <c r="N24" s="12"/>
      <c r="O24" s="13" t="s">
        <v>49</v>
      </c>
      <c r="P24" s="12" t="s">
        <v>50</v>
      </c>
    </row>
    <row r="25" customFormat="false" ht="66" hidden="false" customHeight="true" outlineLevel="0" collapsed="false">
      <c r="A25" s="18" t="s">
        <v>202</v>
      </c>
      <c r="B25" s="19" t="s">
        <v>184</v>
      </c>
      <c r="C25" s="10" t="s">
        <v>203</v>
      </c>
      <c r="D25" s="10" t="s">
        <v>204</v>
      </c>
      <c r="E25" s="10" t="s">
        <v>205</v>
      </c>
      <c r="F25" s="11" t="s">
        <v>188</v>
      </c>
      <c r="G25" s="12" t="s">
        <v>44</v>
      </c>
      <c r="H25" s="12" t="s">
        <v>45</v>
      </c>
      <c r="I25" s="11" t="s">
        <v>68</v>
      </c>
      <c r="J25" s="10" t="s">
        <v>206</v>
      </c>
      <c r="K25" s="12" t="n">
        <v>1</v>
      </c>
      <c r="L25" s="14" t="s">
        <v>56</v>
      </c>
      <c r="M25" s="10" t="s">
        <v>207</v>
      </c>
      <c r="N25" s="12" t="s">
        <v>208</v>
      </c>
      <c r="O25" s="13" t="s">
        <v>49</v>
      </c>
      <c r="P25" s="12" t="s">
        <v>60</v>
      </c>
    </row>
    <row r="26" customFormat="false" ht="66" hidden="false" customHeight="true" outlineLevel="0" collapsed="false">
      <c r="A26" s="18" t="s">
        <v>209</v>
      </c>
      <c r="B26" s="19" t="s">
        <v>184</v>
      </c>
      <c r="C26" s="10" t="s">
        <v>210</v>
      </c>
      <c r="D26" s="10" t="s">
        <v>211</v>
      </c>
      <c r="E26" s="10" t="s">
        <v>212</v>
      </c>
      <c r="F26" s="11" t="s">
        <v>107</v>
      </c>
      <c r="G26" s="12" t="s">
        <v>87</v>
      </c>
      <c r="H26" s="12" t="s">
        <v>45</v>
      </c>
      <c r="I26" s="11" t="s">
        <v>88</v>
      </c>
      <c r="J26" s="10" t="s">
        <v>213</v>
      </c>
      <c r="K26" s="12" t="n">
        <v>1</v>
      </c>
      <c r="L26" s="13" t="s">
        <v>48</v>
      </c>
      <c r="M26" s="10"/>
      <c r="N26" s="12"/>
      <c r="O26" s="13" t="s">
        <v>49</v>
      </c>
      <c r="P26" s="12" t="s">
        <v>50</v>
      </c>
    </row>
    <row r="27" customFormat="false" ht="66" hidden="false" customHeight="true" outlineLevel="0" collapsed="false">
      <c r="A27" s="20" t="s">
        <v>214</v>
      </c>
      <c r="B27" s="21" t="s">
        <v>215</v>
      </c>
      <c r="C27" s="10" t="s">
        <v>216</v>
      </c>
      <c r="D27" s="10" t="s">
        <v>217</v>
      </c>
      <c r="E27" s="10" t="s">
        <v>218</v>
      </c>
      <c r="F27" s="11" t="s">
        <v>219</v>
      </c>
      <c r="G27" s="12" t="s">
        <v>220</v>
      </c>
      <c r="H27" s="12" t="s">
        <v>67</v>
      </c>
      <c r="I27" s="11" t="s">
        <v>88</v>
      </c>
      <c r="J27" s="10" t="s">
        <v>221</v>
      </c>
      <c r="K27" s="12" t="n">
        <v>4</v>
      </c>
      <c r="L27" s="13" t="s">
        <v>48</v>
      </c>
      <c r="M27" s="10"/>
      <c r="N27" s="12"/>
      <c r="O27" s="13" t="s">
        <v>49</v>
      </c>
      <c r="P27" s="12" t="s">
        <v>50</v>
      </c>
    </row>
    <row r="28" customFormat="false" ht="66" hidden="false" customHeight="true" outlineLevel="0" collapsed="false">
      <c r="A28" s="20" t="s">
        <v>222</v>
      </c>
      <c r="B28" s="21" t="s">
        <v>215</v>
      </c>
      <c r="C28" s="10" t="s">
        <v>223</v>
      </c>
      <c r="D28" s="10" t="s">
        <v>224</v>
      </c>
      <c r="E28" s="10" t="s">
        <v>225</v>
      </c>
      <c r="F28" s="11" t="s">
        <v>219</v>
      </c>
      <c r="G28" s="12" t="s">
        <v>220</v>
      </c>
      <c r="H28" s="12" t="s">
        <v>67</v>
      </c>
      <c r="I28" s="11" t="s">
        <v>88</v>
      </c>
      <c r="J28" s="10" t="s">
        <v>226</v>
      </c>
      <c r="K28" s="12" t="n">
        <v>4</v>
      </c>
      <c r="L28" s="13" t="s">
        <v>48</v>
      </c>
      <c r="M28" s="10"/>
      <c r="N28" s="12"/>
      <c r="O28" s="13" t="s">
        <v>49</v>
      </c>
      <c r="P28" s="12" t="s">
        <v>50</v>
      </c>
    </row>
    <row r="29" customFormat="false" ht="66" hidden="false" customHeight="true" outlineLevel="0" collapsed="false">
      <c r="A29" s="20" t="s">
        <v>227</v>
      </c>
      <c r="B29" s="21" t="s">
        <v>215</v>
      </c>
      <c r="C29" s="10" t="s">
        <v>228</v>
      </c>
      <c r="D29" s="10" t="s">
        <v>229</v>
      </c>
      <c r="E29" s="10" t="s">
        <v>230</v>
      </c>
      <c r="F29" s="11" t="s">
        <v>219</v>
      </c>
      <c r="G29" s="12" t="s">
        <v>113</v>
      </c>
      <c r="H29" s="12" t="s">
        <v>67</v>
      </c>
      <c r="I29" s="11" t="s">
        <v>68</v>
      </c>
      <c r="J29" s="10" t="s">
        <v>231</v>
      </c>
      <c r="K29" s="12" t="n">
        <v>1</v>
      </c>
      <c r="L29" s="15" t="s">
        <v>78</v>
      </c>
      <c r="M29" s="10" t="s">
        <v>232</v>
      </c>
      <c r="N29" s="12" t="s">
        <v>233</v>
      </c>
      <c r="O29" s="14" t="s">
        <v>59</v>
      </c>
      <c r="P29" s="12" t="s">
        <v>82</v>
      </c>
    </row>
    <row r="30" customFormat="false" ht="66" hidden="false" customHeight="true" outlineLevel="0" collapsed="false">
      <c r="A30" s="20" t="s">
        <v>234</v>
      </c>
      <c r="B30" s="21" t="s">
        <v>215</v>
      </c>
      <c r="C30" s="10" t="s">
        <v>235</v>
      </c>
      <c r="D30" s="10" t="s">
        <v>236</v>
      </c>
      <c r="E30" s="10" t="s">
        <v>237</v>
      </c>
      <c r="F30" s="11" t="s">
        <v>238</v>
      </c>
      <c r="G30" s="12" t="s">
        <v>44</v>
      </c>
      <c r="H30" s="12" t="s">
        <v>67</v>
      </c>
      <c r="I30" s="11" t="s">
        <v>46</v>
      </c>
      <c r="J30" s="10" t="s">
        <v>239</v>
      </c>
      <c r="K30" s="12" t="n">
        <v>15</v>
      </c>
      <c r="L30" s="13" t="s">
        <v>48</v>
      </c>
      <c r="M30" s="10"/>
      <c r="N30" s="12"/>
      <c r="O30" s="13" t="s">
        <v>49</v>
      </c>
      <c r="P30" s="12" t="s">
        <v>50</v>
      </c>
    </row>
    <row r="31" customFormat="false" ht="66" hidden="false" customHeight="true" outlineLevel="0" collapsed="false">
      <c r="A31" s="20" t="s">
        <v>240</v>
      </c>
      <c r="B31" s="21" t="s">
        <v>215</v>
      </c>
      <c r="C31" s="10" t="s">
        <v>241</v>
      </c>
      <c r="D31" s="10" t="s">
        <v>242</v>
      </c>
      <c r="E31" s="10" t="s">
        <v>243</v>
      </c>
      <c r="F31" s="11" t="s">
        <v>219</v>
      </c>
      <c r="G31" s="12" t="s">
        <v>179</v>
      </c>
      <c r="H31" s="12" t="s">
        <v>67</v>
      </c>
      <c r="I31" s="11" t="s">
        <v>68</v>
      </c>
      <c r="J31" s="10" t="s">
        <v>244</v>
      </c>
      <c r="K31" s="12" t="n">
        <v>3</v>
      </c>
      <c r="L31" s="13" t="s">
        <v>48</v>
      </c>
      <c r="M31" s="10"/>
      <c r="N31" s="12"/>
      <c r="O31" s="13" t="s">
        <v>49</v>
      </c>
      <c r="P31" s="12" t="s">
        <v>50</v>
      </c>
    </row>
    <row r="32" customFormat="false" ht="66" hidden="false" customHeight="true" outlineLevel="0" collapsed="false">
      <c r="A32" s="20" t="s">
        <v>245</v>
      </c>
      <c r="B32" s="21" t="s">
        <v>215</v>
      </c>
      <c r="C32" s="10" t="s">
        <v>246</v>
      </c>
      <c r="D32" s="10" t="s">
        <v>247</v>
      </c>
      <c r="E32" s="10" t="s">
        <v>248</v>
      </c>
      <c r="F32" s="11" t="s">
        <v>107</v>
      </c>
      <c r="G32" s="12" t="s">
        <v>87</v>
      </c>
      <c r="H32" s="12" t="s">
        <v>67</v>
      </c>
      <c r="I32" s="11" t="s">
        <v>88</v>
      </c>
      <c r="J32" s="10" t="s">
        <v>249</v>
      </c>
      <c r="K32" s="12" t="n">
        <v>1</v>
      </c>
      <c r="L32" s="13" t="s">
        <v>48</v>
      </c>
      <c r="M32" s="10"/>
      <c r="N32" s="12"/>
      <c r="O32" s="13" t="s">
        <v>49</v>
      </c>
      <c r="P32" s="12" t="s">
        <v>50</v>
      </c>
    </row>
    <row r="33" customFormat="false" ht="66" hidden="false" customHeight="true" outlineLevel="0" collapsed="false">
      <c r="A33" s="20" t="s">
        <v>250</v>
      </c>
      <c r="B33" s="21" t="s">
        <v>215</v>
      </c>
      <c r="C33" s="10" t="s">
        <v>251</v>
      </c>
      <c r="D33" s="10" t="s">
        <v>252</v>
      </c>
      <c r="E33" s="10" t="s">
        <v>253</v>
      </c>
      <c r="F33" s="11" t="s">
        <v>219</v>
      </c>
      <c r="G33" s="12" t="s">
        <v>113</v>
      </c>
      <c r="H33" s="12" t="s">
        <v>45</v>
      </c>
      <c r="I33" s="11" t="s">
        <v>68</v>
      </c>
      <c r="J33" s="10" t="s">
        <v>254</v>
      </c>
      <c r="K33" s="12" t="n">
        <v>1</v>
      </c>
      <c r="L33" s="14" t="s">
        <v>56</v>
      </c>
      <c r="M33" s="10" t="s">
        <v>255</v>
      </c>
      <c r="N33" s="12" t="s">
        <v>256</v>
      </c>
      <c r="O33" s="14" t="s">
        <v>59</v>
      </c>
      <c r="P33" s="12" t="s">
        <v>60</v>
      </c>
    </row>
  </sheetData>
  <autoFilter ref="A1:P33"/>
  <dataValidations count="4">
    <dataValidation allowBlank="true" errorStyle="stop" operator="between" showDropDown="false" showErrorMessage="false" showInputMessage="false" sqref="L2:L33" type="list">
      <formula1>"Effective,Partially Effective,Ineffective,Not Tested"</formula1>
      <formula2>0</formula2>
    </dataValidation>
    <dataValidation allowBlank="true" errorStyle="stop" operator="between" showDropDown="false" showErrorMessage="false" showInputMessage="false" sqref="O2:O33" type="list">
      <formula1>"High,Medium,Low"</formula1>
      <formula2>0</formula2>
    </dataValidation>
    <dataValidation allowBlank="true" errorStyle="stop" operator="between" showDropDown="false" showErrorMessage="false" showInputMessage="false" sqref="P2:P33" type="list">
      <formula1>"Open,In Progress,Closed,N/A"</formula1>
      <formula2>0</formula2>
    </dataValidation>
    <dataValidation allowBlank="true" errorStyle="stop" operator="between" showDropDown="false" showErrorMessage="false" showInputMessage="false" sqref="H2:H33" type="list">
      <formula1>"Preventive,Detective"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0" min="9" style="0" width="14"/>
  </cols>
  <sheetData>
    <row r="1" customFormat="false" ht="30" hidden="false" customHeight="true" outlineLevel="0" collapsed="false">
      <c r="A1" s="7" t="s">
        <v>257</v>
      </c>
      <c r="B1" s="7" t="s">
        <v>22</v>
      </c>
      <c r="C1" s="7" t="s">
        <v>23</v>
      </c>
      <c r="D1" s="7" t="s">
        <v>258</v>
      </c>
      <c r="E1" s="7" t="s">
        <v>259</v>
      </c>
      <c r="F1" s="7" t="s">
        <v>260</v>
      </c>
      <c r="G1" s="7" t="s">
        <v>36</v>
      </c>
      <c r="H1" s="7" t="s">
        <v>261</v>
      </c>
      <c r="I1" s="7" t="s">
        <v>262</v>
      </c>
      <c r="J1" s="7" t="s">
        <v>37</v>
      </c>
    </row>
    <row r="2" customFormat="false" ht="60" hidden="false" customHeight="true" outlineLevel="0" collapsed="false">
      <c r="A2" s="22" t="s">
        <v>80</v>
      </c>
      <c r="B2" s="12" t="s">
        <v>72</v>
      </c>
      <c r="C2" s="11" t="s">
        <v>263</v>
      </c>
      <c r="D2" s="10" t="s">
        <v>264</v>
      </c>
      <c r="E2" s="10" t="s">
        <v>265</v>
      </c>
      <c r="F2" s="10" t="s">
        <v>266</v>
      </c>
      <c r="G2" s="15" t="s">
        <v>81</v>
      </c>
      <c r="H2" s="11" t="s">
        <v>76</v>
      </c>
      <c r="I2" s="12" t="s">
        <v>267</v>
      </c>
      <c r="J2" s="12" t="s">
        <v>82</v>
      </c>
    </row>
    <row r="3" customFormat="false" ht="60" hidden="false" customHeight="true" outlineLevel="0" collapsed="false">
      <c r="A3" s="22" t="s">
        <v>159</v>
      </c>
      <c r="B3" s="12" t="s">
        <v>152</v>
      </c>
      <c r="C3" s="11" t="s">
        <v>268</v>
      </c>
      <c r="D3" s="10" t="s">
        <v>269</v>
      </c>
      <c r="E3" s="10" t="s">
        <v>270</v>
      </c>
      <c r="F3" s="10" t="s">
        <v>271</v>
      </c>
      <c r="G3" s="15" t="s">
        <v>81</v>
      </c>
      <c r="H3" s="11" t="s">
        <v>156</v>
      </c>
      <c r="I3" s="12" t="s">
        <v>272</v>
      </c>
      <c r="J3" s="12" t="s">
        <v>82</v>
      </c>
    </row>
    <row r="4" customFormat="false" ht="60" hidden="false" customHeight="true" outlineLevel="0" collapsed="false">
      <c r="A4" s="22" t="s">
        <v>97</v>
      </c>
      <c r="B4" s="12" t="s">
        <v>90</v>
      </c>
      <c r="C4" s="11" t="s">
        <v>263</v>
      </c>
      <c r="D4" s="10" t="s">
        <v>273</v>
      </c>
      <c r="E4" s="10" t="s">
        <v>274</v>
      </c>
      <c r="F4" s="10" t="s">
        <v>275</v>
      </c>
      <c r="G4" s="15" t="s">
        <v>81</v>
      </c>
      <c r="H4" s="11" t="s">
        <v>94</v>
      </c>
      <c r="I4" s="12" t="s">
        <v>267</v>
      </c>
      <c r="J4" s="12" t="s">
        <v>82</v>
      </c>
    </row>
    <row r="5" customFormat="false" ht="60" hidden="false" customHeight="true" outlineLevel="0" collapsed="false">
      <c r="A5" s="22" t="s">
        <v>233</v>
      </c>
      <c r="B5" s="12" t="s">
        <v>227</v>
      </c>
      <c r="C5" s="11" t="s">
        <v>276</v>
      </c>
      <c r="D5" s="10" t="s">
        <v>277</v>
      </c>
      <c r="E5" s="10" t="s">
        <v>278</v>
      </c>
      <c r="F5" s="10" t="s">
        <v>279</v>
      </c>
      <c r="G5" s="14" t="s">
        <v>59</v>
      </c>
      <c r="H5" s="11" t="s">
        <v>219</v>
      </c>
      <c r="I5" s="12" t="s">
        <v>280</v>
      </c>
      <c r="J5" s="12" t="s">
        <v>82</v>
      </c>
    </row>
    <row r="6" customFormat="false" ht="60" hidden="false" customHeight="true" outlineLevel="0" collapsed="false">
      <c r="A6" s="22" t="s">
        <v>256</v>
      </c>
      <c r="B6" s="12" t="s">
        <v>250</v>
      </c>
      <c r="C6" s="11" t="s">
        <v>276</v>
      </c>
      <c r="D6" s="10" t="s">
        <v>281</v>
      </c>
      <c r="E6" s="10" t="s">
        <v>282</v>
      </c>
      <c r="F6" s="10" t="s">
        <v>283</v>
      </c>
      <c r="G6" s="14" t="s">
        <v>59</v>
      </c>
      <c r="H6" s="11" t="s">
        <v>219</v>
      </c>
      <c r="I6" s="12" t="s">
        <v>284</v>
      </c>
      <c r="J6" s="12" t="s">
        <v>60</v>
      </c>
    </row>
    <row r="7" customFormat="false" ht="60" hidden="false" customHeight="true" outlineLevel="0" collapsed="false">
      <c r="A7" s="22" t="s">
        <v>58</v>
      </c>
      <c r="B7" s="12" t="s">
        <v>51</v>
      </c>
      <c r="C7" s="11" t="s">
        <v>263</v>
      </c>
      <c r="D7" s="10" t="s">
        <v>285</v>
      </c>
      <c r="E7" s="10" t="s">
        <v>286</v>
      </c>
      <c r="F7" s="10" t="s">
        <v>287</v>
      </c>
      <c r="G7" s="14" t="s">
        <v>59</v>
      </c>
      <c r="H7" s="11" t="s">
        <v>43</v>
      </c>
      <c r="I7" s="12" t="s">
        <v>280</v>
      </c>
      <c r="J7" s="12" t="s">
        <v>60</v>
      </c>
    </row>
    <row r="8" customFormat="false" ht="60" hidden="false" customHeight="true" outlineLevel="0" collapsed="false">
      <c r="A8" s="22" t="s">
        <v>71</v>
      </c>
      <c r="B8" s="12" t="s">
        <v>61</v>
      </c>
      <c r="C8" s="11" t="s">
        <v>263</v>
      </c>
      <c r="D8" s="10" t="s">
        <v>288</v>
      </c>
      <c r="E8" s="10" t="s">
        <v>289</v>
      </c>
      <c r="F8" s="10" t="s">
        <v>290</v>
      </c>
      <c r="G8" s="14" t="s">
        <v>59</v>
      </c>
      <c r="H8" s="11" t="s">
        <v>65</v>
      </c>
      <c r="I8" s="12" t="s">
        <v>291</v>
      </c>
      <c r="J8" s="12" t="s">
        <v>60</v>
      </c>
    </row>
    <row r="9" customFormat="false" ht="60" hidden="false" customHeight="true" outlineLevel="0" collapsed="false">
      <c r="A9" s="22" t="s">
        <v>182</v>
      </c>
      <c r="B9" s="12" t="s">
        <v>175</v>
      </c>
      <c r="C9" s="11" t="s">
        <v>268</v>
      </c>
      <c r="D9" s="10" t="s">
        <v>292</v>
      </c>
      <c r="E9" s="10" t="s">
        <v>293</v>
      </c>
      <c r="F9" s="10" t="s">
        <v>294</v>
      </c>
      <c r="G9" s="14" t="s">
        <v>59</v>
      </c>
      <c r="H9" s="11" t="s">
        <v>136</v>
      </c>
      <c r="I9" s="12" t="s">
        <v>295</v>
      </c>
      <c r="J9" s="12" t="s">
        <v>60</v>
      </c>
    </row>
    <row r="10" customFormat="false" ht="60" hidden="false" customHeight="true" outlineLevel="0" collapsed="false">
      <c r="A10" s="22" t="s">
        <v>145</v>
      </c>
      <c r="B10" s="12" t="s">
        <v>138</v>
      </c>
      <c r="C10" s="11" t="s">
        <v>268</v>
      </c>
      <c r="D10" s="10" t="s">
        <v>296</v>
      </c>
      <c r="E10" s="10" t="s">
        <v>297</v>
      </c>
      <c r="F10" s="10" t="s">
        <v>298</v>
      </c>
      <c r="G10" s="13" t="s">
        <v>49</v>
      </c>
      <c r="H10" s="11" t="s">
        <v>142</v>
      </c>
      <c r="I10" s="12" t="s">
        <v>280</v>
      </c>
      <c r="J10" s="12" t="s">
        <v>60</v>
      </c>
    </row>
    <row r="11" customFormat="false" ht="60" hidden="false" customHeight="true" outlineLevel="0" collapsed="false">
      <c r="A11" s="22" t="s">
        <v>208</v>
      </c>
      <c r="B11" s="12" t="s">
        <v>202</v>
      </c>
      <c r="C11" s="11" t="s">
        <v>299</v>
      </c>
      <c r="D11" s="10" t="s">
        <v>300</v>
      </c>
      <c r="E11" s="10" t="s">
        <v>301</v>
      </c>
      <c r="F11" s="10" t="s">
        <v>302</v>
      </c>
      <c r="G11" s="13" t="s">
        <v>49</v>
      </c>
      <c r="H11" s="11" t="s">
        <v>188</v>
      </c>
      <c r="I11" s="12" t="s">
        <v>303</v>
      </c>
      <c r="J11" s="12" t="s">
        <v>60</v>
      </c>
    </row>
  </sheetData>
  <autoFilter ref="A1:J11"/>
  <dataValidations count="1">
    <dataValidation allowBlank="true" errorStyle="stop" operator="between" showDropDown="false" showErrorMessage="false" showInputMessage="false" sqref="J2:J11" type="list">
      <formula1>"Open,In Progress,Closed,N/A"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8"/>
  </cols>
  <sheetData>
    <row r="2" customFormat="false" ht="25.5" hidden="false" customHeight="true" outlineLevel="0" collapsed="false">
      <c r="B2" s="23" t="s">
        <v>304</v>
      </c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B3" s="24" t="s">
        <v>305</v>
      </c>
      <c r="C3" s="24"/>
      <c r="D3" s="24"/>
      <c r="E3" s="24"/>
      <c r="F3" s="24"/>
      <c r="G3" s="24"/>
      <c r="H3" s="24"/>
    </row>
    <row r="5" customFormat="false" ht="15" hidden="false" customHeight="true" outlineLevel="0" collapsed="false">
      <c r="B5" s="25" t="s">
        <v>306</v>
      </c>
      <c r="C5" s="25"/>
      <c r="D5" s="26" t="s">
        <v>48</v>
      </c>
      <c r="E5" s="26"/>
      <c r="F5" s="27" t="s">
        <v>56</v>
      </c>
      <c r="G5" s="27"/>
    </row>
    <row r="6" customFormat="false" ht="33.75" hidden="false" customHeight="true" outlineLevel="0" collapsed="false">
      <c r="B6" s="28" t="n">
        <f aca="false">COUNTA('Control Matrix'!$A$2:$A$33)</f>
        <v>32</v>
      </c>
      <c r="C6" s="28"/>
      <c r="D6" s="29" t="n">
        <f aca="false">COUNTIF('Control Matrix'!$L$2:$L$33,"Effective")</f>
        <v>22</v>
      </c>
      <c r="E6" s="29"/>
      <c r="F6" s="30" t="n">
        <f aca="false">COUNTIF('Control Matrix'!$L$2:$L$33,"Partially Effective")</f>
        <v>7</v>
      </c>
      <c r="G6" s="30"/>
    </row>
    <row r="8" customFormat="false" ht="15" hidden="false" customHeight="true" outlineLevel="0" collapsed="false">
      <c r="B8" s="31" t="s">
        <v>78</v>
      </c>
      <c r="C8" s="31"/>
      <c r="D8" s="31" t="s">
        <v>307</v>
      </c>
      <c r="E8" s="31"/>
      <c r="F8" s="31" t="s">
        <v>308</v>
      </c>
      <c r="G8" s="31"/>
    </row>
    <row r="9" customFormat="false" ht="33.75" hidden="false" customHeight="true" outlineLevel="0" collapsed="false">
      <c r="B9" s="32" t="n">
        <f aca="false">COUNTIF('Control Matrix'!$L$2:$L$33,"Ineffective")</f>
        <v>3</v>
      </c>
      <c r="C9" s="32"/>
      <c r="D9" s="32" t="n">
        <f aca="false">COUNTIF('Control Matrix'!$P$2:$P$33,"Open")</f>
        <v>4</v>
      </c>
      <c r="E9" s="32"/>
      <c r="F9" s="32" t="n">
        <f aca="false">COUNTIF('Control Matrix'!$O$2:$O$33,"High")</f>
        <v>3</v>
      </c>
      <c r="G9" s="32"/>
    </row>
    <row r="12" customFormat="false" ht="16.15" hidden="false" customHeight="false" outlineLevel="0" collapsed="false">
      <c r="B12" s="5" t="s">
        <v>309</v>
      </c>
      <c r="C12" s="5"/>
      <c r="D12" s="5"/>
      <c r="E12" s="5"/>
      <c r="F12" s="5"/>
      <c r="G12" s="5"/>
      <c r="H12" s="5"/>
    </row>
    <row r="13" customFormat="false" ht="21.75" hidden="false" customHeight="true" outlineLevel="0" collapsed="false">
      <c r="B13" s="33" t="s">
        <v>23</v>
      </c>
      <c r="C13" s="33" t="s">
        <v>310</v>
      </c>
      <c r="D13" s="33" t="s">
        <v>48</v>
      </c>
      <c r="E13" s="33" t="s">
        <v>311</v>
      </c>
      <c r="F13" s="33" t="s">
        <v>78</v>
      </c>
      <c r="G13" s="33" t="s">
        <v>312</v>
      </c>
    </row>
    <row r="14" customFormat="false" ht="19.5" hidden="false" customHeight="true" outlineLevel="0" collapsed="false">
      <c r="B14" s="34" t="s">
        <v>313</v>
      </c>
      <c r="C14" s="12" t="n">
        <f aca="false">COUNTIF('Control Matrix'!$B$2:$B$33,"A. Access to Programs &amp; Data")</f>
        <v>12</v>
      </c>
      <c r="D14" s="12" t="n">
        <f aca="false">COUNTIFS('Control Matrix'!$B$2:$B$33,"A. Access to Programs &amp; Data",'Control Matrix'!$L$2:$L$33,"Effective")</f>
        <v>8</v>
      </c>
      <c r="E14" s="12" t="n">
        <f aca="false">COUNTIFS('Control Matrix'!$B$2:$B$33,"A. Access to Programs &amp; Data",'Control Matrix'!$L$2:$L$33,"Partially Effective")</f>
        <v>3</v>
      </c>
      <c r="F14" s="12" t="n">
        <f aca="false">COUNTIFS('Control Matrix'!$B$2:$B$33,"A. Access to Programs &amp; Data",'Control Matrix'!$L$2:$L$33,"Ineffective")</f>
        <v>1</v>
      </c>
      <c r="G14" s="35" t="n">
        <f aca="false">IFERROR(D14/C14,0)</f>
        <v>0.666666666666667</v>
      </c>
    </row>
    <row r="15" customFormat="false" ht="19.5" hidden="false" customHeight="true" outlineLevel="0" collapsed="false">
      <c r="B15" s="34" t="s">
        <v>314</v>
      </c>
      <c r="C15" s="12" t="n">
        <f aca="false">COUNTIF('Control Matrix'!$B$2:$B$33,"B. Program Changes")</f>
        <v>8</v>
      </c>
      <c r="D15" s="12" t="n">
        <f aca="false">COUNTIFS('Control Matrix'!$B$2:$B$33,"B. Program Changes",'Control Matrix'!$L$2:$L$33,"Effective")</f>
        <v>5</v>
      </c>
      <c r="E15" s="12" t="n">
        <f aca="false">COUNTIFS('Control Matrix'!$B$2:$B$33,"B. Program Changes",'Control Matrix'!$L$2:$L$33,"Partially Effective")</f>
        <v>2</v>
      </c>
      <c r="F15" s="12" t="n">
        <f aca="false">COUNTIFS('Control Matrix'!$B$2:$B$33,"B. Program Changes",'Control Matrix'!$L$2:$L$33,"Ineffective")</f>
        <v>1</v>
      </c>
      <c r="G15" s="35" t="n">
        <f aca="false">IFERROR(D15/C15,0)</f>
        <v>0.625</v>
      </c>
    </row>
    <row r="16" customFormat="false" ht="19.5" hidden="false" customHeight="true" outlineLevel="0" collapsed="false">
      <c r="B16" s="34" t="s">
        <v>315</v>
      </c>
      <c r="C16" s="12" t="n">
        <f aca="false">COUNTIF('Control Matrix'!$B$2:$B$33,"C. Program Development")</f>
        <v>5</v>
      </c>
      <c r="D16" s="12" t="n">
        <f aca="false">COUNTIFS('Control Matrix'!$B$2:$B$33,"C. Program Development",'Control Matrix'!$L$2:$L$33,"Effective")</f>
        <v>4</v>
      </c>
      <c r="E16" s="12" t="n">
        <f aca="false">COUNTIFS('Control Matrix'!$B$2:$B$33,"C. Program Development",'Control Matrix'!$L$2:$L$33,"Partially Effective")</f>
        <v>1</v>
      </c>
      <c r="F16" s="12" t="n">
        <f aca="false">COUNTIFS('Control Matrix'!$B$2:$B$33,"C. Program Development",'Control Matrix'!$L$2:$L$33,"Ineffective")</f>
        <v>0</v>
      </c>
      <c r="G16" s="35" t="n">
        <f aca="false">IFERROR(D16/C16,0)</f>
        <v>0.8</v>
      </c>
    </row>
    <row r="17" customFormat="false" ht="19.5" hidden="false" customHeight="true" outlineLevel="0" collapsed="false">
      <c r="B17" s="34" t="s">
        <v>316</v>
      </c>
      <c r="C17" s="12" t="n">
        <f aca="false">COUNTIF('Control Matrix'!$B$2:$B$33,"D. Computer Operations")</f>
        <v>7</v>
      </c>
      <c r="D17" s="12" t="n">
        <f aca="false">COUNTIFS('Control Matrix'!$B$2:$B$33,"D. Computer Operations",'Control Matrix'!$L$2:$L$33,"Effective")</f>
        <v>5</v>
      </c>
      <c r="E17" s="12" t="n">
        <f aca="false">COUNTIFS('Control Matrix'!$B$2:$B$33,"D. Computer Operations",'Control Matrix'!$L$2:$L$33,"Partially Effective")</f>
        <v>1</v>
      </c>
      <c r="F17" s="12" t="n">
        <f aca="false">COUNTIFS('Control Matrix'!$B$2:$B$33,"D. Computer Operations",'Control Matrix'!$L$2:$L$33,"Ineffective")</f>
        <v>1</v>
      </c>
      <c r="G17" s="35" t="n">
        <f aca="false">IFERROR(D17/C17,0)</f>
        <v>0.714285714285714</v>
      </c>
    </row>
    <row r="18" customFormat="false" ht="15" hidden="false" customHeight="false" outlineLevel="0" collapsed="false">
      <c r="B18" s="36" t="s">
        <v>317</v>
      </c>
      <c r="C18" s="37" t="n">
        <f aca="false">SUM(C14:C17)</f>
        <v>32</v>
      </c>
      <c r="D18" s="37" t="n">
        <f aca="false">SUM(D14:D17)</f>
        <v>22</v>
      </c>
      <c r="E18" s="37" t="n">
        <f aca="false">SUM(E14:E17)</f>
        <v>7</v>
      </c>
      <c r="F18" s="37" t="n">
        <f aca="false">SUM(F14:F17)</f>
        <v>3</v>
      </c>
      <c r="G18" s="38" t="n">
        <f aca="false">IFERROR(D18/C18,0)</f>
        <v>0.6875</v>
      </c>
    </row>
    <row r="21" customFormat="false" ht="16.15" hidden="false" customHeight="false" outlineLevel="0" collapsed="false">
      <c r="B21" s="5" t="s">
        <v>318</v>
      </c>
      <c r="C21" s="5"/>
      <c r="D21" s="5"/>
      <c r="E21" s="5"/>
    </row>
    <row r="22" customFormat="false" ht="15" hidden="false" customHeight="false" outlineLevel="0" collapsed="false">
      <c r="B22" s="33" t="s">
        <v>319</v>
      </c>
      <c r="C22" s="33" t="s">
        <v>320</v>
      </c>
    </row>
    <row r="23" customFormat="false" ht="15" hidden="false" customHeight="false" outlineLevel="0" collapsed="false">
      <c r="B23" s="39" t="s">
        <v>81</v>
      </c>
      <c r="C23" s="12" t="n">
        <f aca="false">COUNTIF('Control Matrix'!$O$2:$O$33,"High")</f>
        <v>3</v>
      </c>
    </row>
    <row r="24" customFormat="false" ht="15" hidden="false" customHeight="false" outlineLevel="0" collapsed="false">
      <c r="B24" s="40" t="s">
        <v>59</v>
      </c>
      <c r="C24" s="12" t="n">
        <f aca="false">COUNTIF('Control Matrix'!$O$2:$O$33,"Medium")</f>
        <v>5</v>
      </c>
    </row>
    <row r="25" customFormat="false" ht="15" hidden="false" customHeight="false" outlineLevel="0" collapsed="false">
      <c r="B25" s="41" t="s">
        <v>49</v>
      </c>
      <c r="C25" s="12" t="n">
        <f aca="false">COUNTIF('Control Matrix'!$O$2:$O$33,"Low")</f>
        <v>24</v>
      </c>
    </row>
  </sheetData>
  <mergeCells count="16">
    <mergeCell ref="B2:H2"/>
    <mergeCell ref="B3:H3"/>
    <mergeCell ref="B5:C5"/>
    <mergeCell ref="D5:E5"/>
    <mergeCell ref="F5:G5"/>
    <mergeCell ref="B6:C6"/>
    <mergeCell ref="D6:E6"/>
    <mergeCell ref="F6:G6"/>
    <mergeCell ref="B8:C8"/>
    <mergeCell ref="D8:E8"/>
    <mergeCell ref="F8:G8"/>
    <mergeCell ref="B9:C9"/>
    <mergeCell ref="D9:E9"/>
    <mergeCell ref="F9:G9"/>
    <mergeCell ref="B12:H12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42" t="s">
        <v>321</v>
      </c>
    </row>
    <row r="4" customFormat="false" ht="15" hidden="false" customHeight="false" outlineLevel="0" collapsed="false">
      <c r="B4" s="43" t="s">
        <v>322</v>
      </c>
      <c r="C4" s="43"/>
    </row>
    <row r="5" customFormat="false" ht="30" hidden="false" customHeight="true" outlineLevel="0" collapsed="false">
      <c r="B5" s="44" t="s">
        <v>48</v>
      </c>
      <c r="C5" s="45" t="s">
        <v>323</v>
      </c>
    </row>
    <row r="6" customFormat="false" ht="30" hidden="false" customHeight="true" outlineLevel="0" collapsed="false">
      <c r="B6" s="46" t="s">
        <v>56</v>
      </c>
      <c r="C6" s="45" t="s">
        <v>324</v>
      </c>
    </row>
    <row r="7" customFormat="false" ht="30" hidden="false" customHeight="true" outlineLevel="0" collapsed="false">
      <c r="B7" s="47" t="s">
        <v>78</v>
      </c>
      <c r="C7" s="45" t="s">
        <v>325</v>
      </c>
    </row>
    <row r="8" customFormat="false" ht="30" hidden="false" customHeight="true" outlineLevel="0" collapsed="false">
      <c r="B8" s="48" t="s">
        <v>326</v>
      </c>
      <c r="C8" s="45" t="s">
        <v>327</v>
      </c>
    </row>
    <row r="10" customFormat="false" ht="15" hidden="false" customHeight="false" outlineLevel="0" collapsed="false">
      <c r="B10" s="43" t="s">
        <v>328</v>
      </c>
      <c r="C10" s="43"/>
    </row>
    <row r="11" customFormat="false" ht="30" hidden="false" customHeight="true" outlineLevel="0" collapsed="false">
      <c r="B11" s="47" t="s">
        <v>81</v>
      </c>
      <c r="C11" s="45" t="s">
        <v>329</v>
      </c>
    </row>
    <row r="12" customFormat="false" ht="30" hidden="false" customHeight="true" outlineLevel="0" collapsed="false">
      <c r="B12" s="46" t="s">
        <v>59</v>
      </c>
      <c r="C12" s="45" t="s">
        <v>330</v>
      </c>
    </row>
    <row r="13" customFormat="false" ht="30" hidden="false" customHeight="true" outlineLevel="0" collapsed="false">
      <c r="B13" s="44" t="s">
        <v>49</v>
      </c>
      <c r="C13" s="45" t="s">
        <v>331</v>
      </c>
    </row>
    <row r="15" customFormat="false" ht="15" hidden="false" customHeight="false" outlineLevel="0" collapsed="false">
      <c r="B15" s="43" t="s">
        <v>37</v>
      </c>
      <c r="C15" s="43"/>
    </row>
    <row r="16" customFormat="false" ht="30" hidden="false" customHeight="true" outlineLevel="0" collapsed="false">
      <c r="B16" s="49" t="s">
        <v>82</v>
      </c>
      <c r="C16" s="45" t="s">
        <v>332</v>
      </c>
    </row>
    <row r="17" customFormat="false" ht="30" hidden="false" customHeight="true" outlineLevel="0" collapsed="false">
      <c r="B17" s="49" t="s">
        <v>60</v>
      </c>
      <c r="C17" s="45" t="s">
        <v>333</v>
      </c>
    </row>
    <row r="18" customFormat="false" ht="30" hidden="false" customHeight="true" outlineLevel="0" collapsed="false">
      <c r="B18" s="49" t="s">
        <v>50</v>
      </c>
      <c r="C18" s="45" t="s">
        <v>334</v>
      </c>
    </row>
    <row r="19" customFormat="false" ht="30" hidden="false" customHeight="true" outlineLevel="0" collapsed="false">
      <c r="B19" s="49" t="s">
        <v>335</v>
      </c>
      <c r="C19" s="45" t="s">
        <v>336</v>
      </c>
    </row>
    <row r="21" customFormat="false" ht="15" hidden="false" customHeight="false" outlineLevel="0" collapsed="false">
      <c r="B21" s="43" t="s">
        <v>337</v>
      </c>
      <c r="C21" s="43"/>
    </row>
    <row r="22" customFormat="false" ht="30" hidden="false" customHeight="true" outlineLevel="0" collapsed="false">
      <c r="B22" s="49" t="s">
        <v>45</v>
      </c>
      <c r="C22" s="45" t="s">
        <v>338</v>
      </c>
    </row>
    <row r="23" customFormat="false" ht="30" hidden="false" customHeight="true" outlineLevel="0" collapsed="false">
      <c r="B23" s="49" t="s">
        <v>67</v>
      </c>
      <c r="C23" s="45" t="s">
        <v>339</v>
      </c>
    </row>
    <row r="24" customFormat="false" ht="30" hidden="false" customHeight="true" outlineLevel="0" collapsed="false">
      <c r="B24" s="49" t="s">
        <v>88</v>
      </c>
      <c r="C24" s="45" t="s">
        <v>340</v>
      </c>
    </row>
    <row r="25" customFormat="false" ht="30" hidden="false" customHeight="true" outlineLevel="0" collapsed="false">
      <c r="B25" s="49" t="s">
        <v>46</v>
      </c>
      <c r="C25" s="45" t="s">
        <v>341</v>
      </c>
    </row>
    <row r="26" customFormat="false" ht="30" hidden="false" customHeight="true" outlineLevel="0" collapsed="false">
      <c r="B26" s="49" t="s">
        <v>68</v>
      </c>
      <c r="C26" s="45" t="s">
        <v>342</v>
      </c>
    </row>
    <row r="28" customFormat="false" ht="15" hidden="false" customHeight="false" outlineLevel="0" collapsed="false">
      <c r="B28" s="43" t="s">
        <v>343</v>
      </c>
      <c r="C28" s="43"/>
    </row>
    <row r="29" customFormat="false" ht="30" hidden="false" customHeight="true" outlineLevel="0" collapsed="false">
      <c r="B29" s="49" t="s">
        <v>39</v>
      </c>
      <c r="C29" s="45" t="s">
        <v>344</v>
      </c>
    </row>
    <row r="30" customFormat="false" ht="30" hidden="false" customHeight="true" outlineLevel="0" collapsed="false">
      <c r="B30" s="49" t="s">
        <v>132</v>
      </c>
      <c r="C30" s="45" t="s">
        <v>345</v>
      </c>
    </row>
    <row r="31" customFormat="false" ht="30" hidden="false" customHeight="true" outlineLevel="0" collapsed="false">
      <c r="B31" s="49" t="s">
        <v>184</v>
      </c>
      <c r="C31" s="45" t="s">
        <v>346</v>
      </c>
    </row>
    <row r="32" customFormat="false" ht="30" hidden="false" customHeight="true" outlineLevel="0" collapsed="false">
      <c r="B32" s="49" t="s">
        <v>215</v>
      </c>
      <c r="C32" s="45" t="s">
        <v>347</v>
      </c>
    </row>
  </sheetData>
  <mergeCells count="5">
    <mergeCell ref="B4:C4"/>
    <mergeCell ref="B10:C10"/>
    <mergeCell ref="B15:C15"/>
    <mergeCell ref="B21:C21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2026-10-03T13:26:40Z</dcterms:created>
  <dc:creator>openpyxl</dc:creator>
  <dc:description/>
  <dc:language>en-US</dc:language>
  <cp:lastModifiedBy/>
  <dcterms:modified xsi:type="dcterms:W3CDTF">2026-10-03T13:26:40Z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